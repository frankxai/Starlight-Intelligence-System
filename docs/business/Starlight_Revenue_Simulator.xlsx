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Calc_Bear" sheetId="5" state="visible" r:id="rId5"/>
    <sheet xmlns:r="http://schemas.openxmlformats.org/officeDocument/2006/relationships" name="Calc_Base" sheetId="6" state="visible" r:id="rId6"/>
    <sheet xmlns:r="http://schemas.openxmlformats.org/officeDocument/2006/relationships" name="Calc_Bu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$#,##0;($#,##0);&quot;-&quot;"/>
  </numFmts>
  <fonts count="13">
    <font>
      <name val="Calibri"/>
      <family val="2"/>
      <color theme="1"/>
      <sz val="11"/>
      <scheme val="minor"/>
    </font>
    <font>
      <b val="1"/>
      <color rgb="00A78BFA"/>
      <sz val="16"/>
    </font>
    <font>
      <b val="1"/>
      <sz val="12"/>
    </font>
    <font>
      <i val="1"/>
      <color rgb="0064748B"/>
    </font>
    <font>
      <b val="1"/>
    </font>
    <font/>
    <font>
      <color rgb="000000FF"/>
    </font>
    <font>
      <color rgb="00000000"/>
    </font>
    <font>
      <color rgb="00008000"/>
    </font>
    <font>
      <b val="1"/>
      <color rgb="00FFFFFF"/>
    </font>
    <font>
      <b val="1"/>
      <color rgb="0064748B"/>
    </font>
    <font>
      <b val="1"/>
      <color rgb="00A78BFA"/>
    </font>
    <font>
      <b val="1"/>
      <color rgb="001E1B4B"/>
      <sz val="12"/>
    </font>
  </fonts>
  <fills count="6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FFFF00"/>
      </patternFill>
    </fill>
    <fill>
      <patternFill patternType="solid">
        <fgColor rgb="001E1B4B"/>
      </patternFill>
    </fill>
    <fill>
      <patternFill patternType="solid">
        <fgColor rgb="00A78B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3" borderId="0" applyAlignment="1" pivotButton="0" quotePrefix="0" xfId="0">
      <alignment horizontal="center"/>
    </xf>
    <xf numFmtId="0" fontId="11" fillId="0" borderId="0" pivotButton="0" quotePrefix="0" xfId="0"/>
    <xf numFmtId="0" fontId="9" fillId="4" borderId="0" pivotButton="0" quotePrefix="0" xfId="0"/>
    <xf numFmtId="0" fontId="9" fillId="4" borderId="0" applyAlignment="1" pivotButton="0" quotePrefix="0" xfId="0">
      <alignment horizontal="center"/>
    </xf>
    <xf numFmtId="166" fontId="8" fillId="0" borderId="1" applyAlignment="1" pivotButton="0" quotePrefix="0" xfId="0">
      <alignment horizontal="right"/>
    </xf>
    <xf numFmtId="0" fontId="9" fillId="5" borderId="0" pivotButton="0" quotePrefix="0" xfId="0"/>
    <xf numFmtId="166" fontId="12" fillId="0" borderId="0" pivotButton="0" quotePrefix="0" xfId="0"/>
    <xf numFmtId="166" fontId="8" fillId="0" borderId="1" pivotButton="0" quotePrefix="0" xfId="0"/>
    <xf numFmtId="0" fontId="6" fillId="3" borderId="1" applyAlignment="1" pivotButton="0" quotePrefix="0" xfId="0">
      <alignment horizontal="center"/>
    </xf>
    <xf numFmtId="0" fontId="9" fillId="4" borderId="0" applyAlignment="1" pivotButton="0" quotePrefix="0" xfId="0">
      <alignment horizontal="left"/>
    </xf>
    <xf numFmtId="3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Year — scenarios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'Dashboard'!$B$6:$B$8</f>
            </numRef>
          </cat>
          <val>
            <numRef>
              <f>'Dashboard'!$C$6:$C$8</f>
            </numRef>
          </val>
        </ser>
        <ser>
          <idx val="1"/>
          <order val="1"/>
          <tx>
            <strRef>
              <f>'Dashboard'!D5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'Dashboard'!$B$6:$B$8</f>
            </numRef>
          </cat>
          <val>
            <numRef>
              <f>'Dashboard'!$D$6:$D$8</f>
            </numRef>
          </val>
        </ser>
        <ser>
          <idx val="2"/>
          <order val="2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'Dashboard'!$B$6:$B$8</f>
            </numRef>
          </cat>
          <val>
            <numRef>
              <f>'Dashboard'!$E$6:$E$8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;($#,##0);&quot;-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Year (Base)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'Dashboard'!$B$21:$B$25</f>
            </numRef>
          </cat>
          <val>
            <numRef>
              <f>'Dashboard'!$C$21:$C$25</f>
            </numRef>
          </val>
        </ser>
        <ser>
          <idx val="1"/>
          <order val="1"/>
          <tx>
            <strRef>
              <f>'Dashboard'!D20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'Dashboard'!$B$21:$B$25</f>
            </numRef>
          </cat>
          <val>
            <numRef>
              <f>'Dashboard'!$D$21:$D$25</f>
            </numRef>
          </val>
        </ser>
        <ser>
          <idx val="2"/>
          <order val="2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'Dashboard'!$B$21:$B$25</f>
            </numRef>
          </cat>
          <val>
            <numRef>
              <f>'Dashboard'!$E$21:$E$25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;($#,##0);&quot;-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Recurring MRR over 36 months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'Calc_Bear'!$C$32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'Calc_Bear'!$D$32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'Calc_Bear'!$E$32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'Calc_Bear'!$F$32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'Calc_Bear'!$G$32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'Calc_Bear'!$H$32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'Calc_Bear'!$I$32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'Calc_Bear'!$J$32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'Calc_Bear'!$K$32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'Calc_Bear'!$L$32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'Calc_Bear'!$M$32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'Calc_Bear'!$N$32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'Calc_Bear'!$O$32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'Calc_Bear'!$P$32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'Calc_Bear'!$Q$32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'Calc_Bear'!$R$32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'Calc_Bear'!$S$32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'Calc_Bear'!$T$32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'Calc_Bear'!$U$32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'Calc_Bear'!$V$32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'Calc_Bear'!$W$32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'Calc_Bear'!$X$32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'Calc_Bear'!$Y$32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'Calc_Bear'!$Z$32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'Calc_Bear'!$AA$32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'Calc_Bear'!$AB$32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'Calc_Bear'!$AC$32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'Calc_Bear'!$AD$32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'Calc_Bear'!$AE$32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'Calc_Bear'!$AF$32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'Calc_Bear'!$AG$32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'Calc_Bear'!$AH$32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'Calc_Bear'!$AI$32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'Calc_Bear'!$AJ$32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'Calc_Bear'!$AK$32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'Calc_Bear'!$AL$32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'Calc_Base'!$C$32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'Calc_Base'!$D$32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'Calc_Base'!$E$32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'Calc_Base'!$F$32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'Calc_Base'!$G$32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'Calc_Base'!$H$32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'Calc_Base'!$I$32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'Calc_Base'!$J$32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'Calc_Base'!$K$32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'Calc_Base'!$L$32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'Calc_Base'!$M$32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'Calc_Base'!$N$32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'Calc_Base'!$O$32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'Calc_Base'!$P$32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'Calc_Base'!$Q$32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'Calc_Base'!$R$32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'Calc_Base'!$S$32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'Calc_Base'!$T$32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'Calc_Base'!$U$32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'Calc_Base'!$V$32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'Calc_Base'!$W$32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'Calc_Base'!$X$32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'Calc_Base'!$Y$32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'Calc_Base'!$Z$32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'Calc_Base'!$AA$32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'Calc_Base'!$AB$32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'Calc_Base'!$AC$32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'Calc_Base'!$AD$32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'Calc_Base'!$AE$32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'Calc_Base'!$AF$32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'Calc_Base'!$AG$32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'Calc_Base'!$AH$32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'Calc_Base'!$AI$32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'Calc_Base'!$AJ$32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'Calc_Base'!$AK$32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'Calc_Base'!$AL$32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'Calc_Bull'!$C$32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'Calc_Bull'!$D$32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'Calc_Bull'!$E$32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'Calc_Bull'!$F$32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'Calc_Bull'!$G$32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'Calc_Bull'!$H$32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'Calc_Bull'!$I$32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'Calc_Bull'!$J$32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'Calc_Bull'!$K$32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'Calc_Bull'!$L$32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'Calc_Bull'!$M$32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'Calc_Bull'!$N$32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'Calc_Bull'!$O$32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'Calc_Bull'!$P$32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'Calc_Bull'!$Q$32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'Calc_Bull'!$R$32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'Calc_Bull'!$S$32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'Calc_Bull'!$T$32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'Calc_Bull'!$U$32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'Calc_Bull'!$V$32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'Calc_Bull'!$W$32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'Calc_Bull'!$X$32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'Calc_Bull'!$Y$32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'Calc_Bull'!$Z$32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'Calc_Bull'!$AA$32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'Calc_Bull'!$AB$32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'Calc_Bull'!$AC$32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'Calc_Bull'!$AD$32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'Calc_Bull'!$AE$32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'Calc_Bull'!$AF$32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'Calc_Bull'!$AG$32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'Calc_Bull'!$AH$32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'Calc_Bull'!$AI$32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'Calc_Bull'!$AJ$32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'Calc_Bull'!$AK$32</f>
            </numRef>
          </val>
        </ser>
        <ser>
          <idx val="107"/>
          <order val="1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'Calc_Base'!$C$2:$AL$2</f>
            </numRef>
          </cat>
          <val>
            <numRef>
              <f>'Calc_Bull'!$AL$32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;($#,##0);&quot;-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86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5" customWidth="1" min="3" max="3"/>
  </cols>
  <sheetData>
    <row r="2">
      <c r="B2" s="1" t="inlineStr">
        <is>
          <t>STARLIGHT INTELLIGENCE</t>
        </is>
      </c>
    </row>
    <row r="3">
      <c r="B3" s="2" t="inlineStr">
        <is>
          <t>36-Month Revenue Simulator</t>
        </is>
      </c>
    </row>
    <row r="4">
      <c r="B4" s="3" t="inlineStr">
        <is>
          <t>Modeled 2026-06-26 · price points benchmarked to Mem0 / Letta / Zep + repo docs/monetization-tiers.md</t>
        </is>
      </c>
    </row>
    <row r="6">
      <c r="B6" s="4" t="inlineStr">
        <is>
          <t>HOW TO USE</t>
        </is>
      </c>
      <c r="C6" s="5" t="inlineStr"/>
    </row>
    <row r="7">
      <c r="B7" s="6" t="inlineStr">
        <is>
          <t>1. Set scenario</t>
        </is>
      </c>
      <c r="C7" s="7" t="inlineStr">
        <is>
          <t>On Dashboard, cell C3: type 1 (Bear), 2 (Base), or 3 (Bull). Headline KPIs switch to that scenario.</t>
        </is>
      </c>
    </row>
    <row r="8">
      <c r="B8" s="6" t="inlineStr">
        <is>
          <t>2. Tune assumptions</t>
        </is>
      </c>
      <c r="C8" s="7" t="inlineStr">
        <is>
          <t>On Assumptions, edit the BLUE cells (Bear/Base/Bull columns). Every blue cell is a lever you control.</t>
        </is>
      </c>
    </row>
    <row r="9">
      <c r="B9" s="6" t="inlineStr">
        <is>
          <t>3. Recalculate</t>
        </is>
      </c>
      <c r="C9" s="7" t="inlineStr">
        <is>
          <t>If you edit in Excel it recalcs automatically. In LibreOffice press Ctrl+Shift+F9.</t>
        </is>
      </c>
    </row>
    <row r="10">
      <c r="B10" s="6" t="inlineStr">
        <is>
          <t>4. Read results</t>
        </is>
      </c>
      <c r="C10" s="7" t="inlineStr">
        <is>
          <t>Dashboard = headline + scenario comparison + charts. Calc_* sheets = the month-by-month engine per scenario.</t>
        </is>
      </c>
    </row>
    <row r="12">
      <c r="B12" s="4" t="inlineStr">
        <is>
          <t>COLOR LEGEND</t>
        </is>
      </c>
      <c r="C12" s="5" t="inlineStr"/>
    </row>
    <row r="13">
      <c r="B13" s="8" t="inlineStr">
        <is>
          <t>Blue text</t>
        </is>
      </c>
      <c r="C13" s="7" t="inlineStr">
        <is>
          <t>Hardcoded input you change (assumptions / scenario toggle).</t>
        </is>
      </c>
    </row>
    <row r="14">
      <c r="B14" s="9" t="inlineStr">
        <is>
          <t>Black text</t>
        </is>
      </c>
      <c r="C14" s="7" t="inlineStr">
        <is>
          <t>Formula / calculation — don't overwrite.</t>
        </is>
      </c>
    </row>
    <row r="15">
      <c r="B15" s="10" t="inlineStr">
        <is>
          <t>Green text</t>
        </is>
      </c>
      <c r="C15" s="7" t="inlineStr">
        <is>
          <t>Pulls a value from another sheet.</t>
        </is>
      </c>
    </row>
    <row r="16">
      <c r="B16" s="6" t="inlineStr">
        <is>
          <t>Yellow fill</t>
        </is>
      </c>
      <c r="C16" s="7" t="inlineStr">
        <is>
          <t>Key cell that drives everything — the scenario toggle.</t>
        </is>
      </c>
    </row>
    <row r="18">
      <c r="B18" s="4" t="inlineStr">
        <is>
          <t>THE MODEL IN ONE PICTURE</t>
        </is>
      </c>
      <c r="C18" s="5" t="inlineStr"/>
    </row>
    <row r="19">
      <c r="B19" s="6" t="inlineStr">
        <is>
          <t>Funnel</t>
        </is>
      </c>
      <c r="C19" s="7" t="inlineStr">
        <is>
          <t>Active installs · Email subscribers · Service leads — each grows monthly at the rate you set.</t>
        </is>
      </c>
    </row>
    <row r="20">
      <c r="B20" s="6" t="inlineStr">
        <is>
          <t>5 revenue streams</t>
        </is>
      </c>
      <c r="C20" s="7" t="inlineStr">
        <is>
          <t>A Supporter license (one-time) · B Open-core Pro (recurring) · C Managed Cloud (recurring) · E Content+Community (mixed) · D Estate Factory services (project + retainer).</t>
        </is>
      </c>
    </row>
    <row r="21">
      <c r="B21" s="6" t="inlineStr">
        <is>
          <t>Each stream</t>
        </is>
      </c>
      <c r="C21" s="7">
        <f> a funnel denominator × a conversion % × a price. All three are blue inputs.</f>
        <v/>
      </c>
    </row>
    <row r="22">
      <c r="B22" s="6" t="inlineStr">
        <is>
          <t>Outputs</t>
        </is>
      </c>
      <c r="C22" s="7" t="inlineStr">
        <is>
          <t>Total monthly revenue, Recurring MRR, Cumulative revenue → summed into annual Y1/Y2/Y3 figures.</t>
        </is>
      </c>
    </row>
    <row r="24">
      <c r="B24" s="4" t="inlineStr">
        <is>
          <t>KEY ASSUMPTIONS BUILT IN (Base case)</t>
        </is>
      </c>
      <c r="C24" s="5" t="inlineStr"/>
    </row>
    <row r="25">
      <c r="B25" s="6" t="inlineStr">
        <is>
          <t>Wedge</t>
        </is>
      </c>
      <c r="C25" s="7" t="inlineStr">
        <is>
          <t>Governed execution (Hermes) + cross-CLI sovereignty — the lane Mem0/Letta/Zep/Cognee do NOT occupy.</t>
        </is>
      </c>
    </row>
    <row r="26">
      <c r="B26" s="6" t="inlineStr">
        <is>
          <t>Supporter license</t>
        </is>
      </c>
      <c r="C26" s="7" t="inlineStr">
        <is>
          <t>$29 one-time individual (Immich/FUTO model). Voluntary OSS conversion ~1-5% of active users — a runway layer, not the business.</t>
        </is>
      </c>
    </row>
    <row r="27">
      <c r="B27" s="6" t="inlineStr">
        <is>
          <t>Open-core Pro</t>
        </is>
      </c>
      <c r="C27" s="7" t="inlineStr">
        <is>
          <t>$25/seat/mo (between Letta $20 and LangSmith $39). Gates only hosted/multiplayer features, never local memory.</t>
        </is>
      </c>
    </row>
    <row r="28">
      <c r="B28" s="6" t="inlineStr">
        <is>
          <t>Estate Factory</t>
        </is>
      </c>
      <c r="C28" s="7" t="inlineStr">
        <is>
          <t>$25k blended project ACV + $3.5k/mo retainer. This is the near-term CASH ENGINE; OSS+Pro are top-of-funnel.</t>
        </is>
      </c>
    </row>
    <row r="29">
      <c r="B29" s="6" t="inlineStr">
        <is>
          <t>Sequencing</t>
        </is>
      </c>
      <c r="C29" s="7" t="inlineStr">
        <is>
          <t>Service -&gt; Templates -&gt; Community -&gt; Platform. Don't lead with self-serve SaaS.</t>
        </is>
      </c>
    </row>
    <row r="31">
      <c r="B31" s="4" t="inlineStr">
        <is>
          <t>HONEST CAVEATS</t>
        </is>
      </c>
      <c r="C31" s="5" t="inlineStr"/>
    </row>
    <row r="32">
      <c r="B32" s="6" t="inlineStr">
        <is>
          <t>This is a model</t>
        </is>
      </c>
      <c r="C32" s="11" t="inlineStr">
        <is>
          <t>Every number is an assumption you can change. It is a thinking instrument, not a forecast. Re-run it weekly against real funnel data.</t>
        </is>
      </c>
    </row>
    <row r="33">
      <c r="B33" s="6" t="inlineStr">
        <is>
          <t>Biggest lever</t>
        </is>
      </c>
      <c r="C33" s="11" t="inlineStr">
        <is>
          <t>Sensitivity (see Dashboard) shows service close-rate and email-list growth move the outcome far more than any price. Distribution, not pricing, is the constraint.</t>
        </is>
      </c>
    </row>
    <row r="34">
      <c r="B34" s="6" t="inlineStr">
        <is>
          <t>Retrieval gap</t>
        </is>
      </c>
      <c r="C34" s="11" t="inlineStr">
        <is>
          <t>Starlight is bm25-only today (no embeddings yet). Model assumes you compete on architecture/governance, not memory recall, until sqlite-vec ships.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</cols>
  <sheetData>
    <row r="2">
      <c r="B2" s="1" t="inlineStr">
        <is>
          <t>STARLIGHT INTELLIGENCE — REVENUE DASHBOARD</t>
        </is>
      </c>
    </row>
    <row r="3">
      <c r="B3" s="12" t="inlineStr">
        <is>
          <t>Scenario (1=Bear 2=Base 3=Bull):</t>
        </is>
      </c>
      <c r="C3" s="13">
        <f>Assumptions!D2</f>
        <v/>
      </c>
      <c r="D3" s="14">
        <f>CHOOSE(Assumptions!D2,"BEAR","BASE","BULL")</f>
        <v/>
      </c>
    </row>
    <row r="5">
      <c r="B5" s="15" t="inlineStr">
        <is>
          <t>SCENARIO COMPARISON</t>
        </is>
      </c>
      <c r="C5" s="16" t="inlineStr">
        <is>
          <t>Bear</t>
        </is>
      </c>
      <c r="D5" s="16" t="inlineStr">
        <is>
          <t>Base</t>
        </is>
      </c>
      <c r="E5" s="16" t="inlineStr">
        <is>
          <t>Bull</t>
        </is>
      </c>
    </row>
    <row r="6">
      <c r="B6" s="12" t="inlineStr">
        <is>
          <t>Year 1 revenue</t>
        </is>
      </c>
      <c r="C6" s="17">
        <f>SUMIF('Calc_Bear'!$C$3:$AL$3,1,'Calc_Bear'!$C$31:$AL$31)</f>
        <v/>
      </c>
      <c r="D6" s="17">
        <f>SUMIF('Calc_Base'!$C$3:$AL$3,1,'Calc_Base'!$C$31:$AL$31)</f>
        <v/>
      </c>
      <c r="E6" s="17">
        <f>SUMIF('Calc_Bull'!$C$3:$AL$3,1,'Calc_Bull'!$C$31:$AL$31)</f>
        <v/>
      </c>
    </row>
    <row r="7">
      <c r="B7" s="12" t="inlineStr">
        <is>
          <t>Year 2 revenue</t>
        </is>
      </c>
      <c r="C7" s="17">
        <f>SUMIF('Calc_Bear'!$C$3:$AL$3,2,'Calc_Bear'!$C$31:$AL$31)</f>
        <v/>
      </c>
      <c r="D7" s="17">
        <f>SUMIF('Calc_Base'!$C$3:$AL$3,2,'Calc_Base'!$C$31:$AL$31)</f>
        <v/>
      </c>
      <c r="E7" s="17">
        <f>SUMIF('Calc_Bull'!$C$3:$AL$3,2,'Calc_Bull'!$C$31:$AL$31)</f>
        <v/>
      </c>
    </row>
    <row r="8">
      <c r="B8" s="12" t="inlineStr">
        <is>
          <t>Year 3 revenue</t>
        </is>
      </c>
      <c r="C8" s="17">
        <f>SUMIF('Calc_Bear'!$C$3:$AL$3,3,'Calc_Bear'!$C$31:$AL$31)</f>
        <v/>
      </c>
      <c r="D8" s="17">
        <f>SUMIF('Calc_Base'!$C$3:$AL$3,3,'Calc_Base'!$C$31:$AL$31)</f>
        <v/>
      </c>
      <c r="E8" s="17">
        <f>SUMIF('Calc_Bull'!$C$3:$AL$3,3,'Calc_Bull'!$C$31:$AL$31)</f>
        <v/>
      </c>
    </row>
    <row r="9">
      <c r="B9" s="12" t="inlineStr">
        <is>
          <t>3-year cumulative</t>
        </is>
      </c>
      <c r="C9" s="17">
        <f>'Calc_Bear'!$AL$33</f>
        <v/>
      </c>
      <c r="D9" s="17">
        <f>'Calc_Base'!$AL$33</f>
        <v/>
      </c>
      <c r="E9" s="17">
        <f>'Calc_Bull'!$AL$33</f>
        <v/>
      </c>
    </row>
    <row r="10">
      <c r="B10" s="12" t="inlineStr">
        <is>
          <t>Exit MRR (month 12)</t>
        </is>
      </c>
      <c r="C10" s="17">
        <f>'Calc_Bear'!$N$32</f>
        <v/>
      </c>
      <c r="D10" s="17">
        <f>'Calc_Base'!$N$32</f>
        <v/>
      </c>
      <c r="E10" s="17">
        <f>'Calc_Bull'!$N$32</f>
        <v/>
      </c>
    </row>
    <row r="11">
      <c r="B11" s="12" t="inlineStr">
        <is>
          <t>Exit MRR (month 36)</t>
        </is>
      </c>
      <c r="C11" s="17">
        <f>'Calc_Bear'!$AL$32</f>
        <v/>
      </c>
      <c r="D11" s="17">
        <f>'Calc_Base'!$AL$32</f>
        <v/>
      </c>
      <c r="E11" s="17">
        <f>'Calc_Bull'!$AL$32</f>
        <v/>
      </c>
    </row>
    <row r="13">
      <c r="B13" s="18" t="inlineStr">
        <is>
          <t>ACTIVE-SCENARIO HEADLINE</t>
        </is>
      </c>
    </row>
    <row r="14">
      <c r="B14" s="12" t="inlineStr">
        <is>
          <t>Year 1 revenue</t>
        </is>
      </c>
      <c r="C14" s="19">
        <f>CHOOSE($C$3,C6,D6,E6)</f>
        <v/>
      </c>
    </row>
    <row r="15">
      <c r="B15" s="12" t="inlineStr">
        <is>
          <t>Year 2 revenue</t>
        </is>
      </c>
      <c r="C15" s="19">
        <f>CHOOSE($C$3,C7,D7,E7)</f>
        <v/>
      </c>
    </row>
    <row r="16">
      <c r="B16" s="12" t="inlineStr">
        <is>
          <t>Year 3 revenue</t>
        </is>
      </c>
      <c r="C16" s="19">
        <f>CHOOSE($C$3,C8,D8,E8)</f>
        <v/>
      </c>
    </row>
    <row r="17">
      <c r="B17" s="12" t="inlineStr">
        <is>
          <t>3-year cumulative</t>
        </is>
      </c>
      <c r="C17" s="19">
        <f>CHOOSE($C$3,C9,D9,E9)</f>
        <v/>
      </c>
    </row>
    <row r="18">
      <c r="B18" s="12" t="inlineStr">
        <is>
          <t>Exit MRR (month 36)</t>
        </is>
      </c>
      <c r="C18" s="19">
        <f>CHOOSE($C$3,C11,D11,E11)</f>
        <v/>
      </c>
    </row>
    <row r="20">
      <c r="B20" s="15" t="inlineStr">
        <is>
          <t>REVENUE MIX BY YEAR (Base)</t>
        </is>
      </c>
      <c r="C20" s="16" t="inlineStr">
        <is>
          <t>Year 1</t>
        </is>
      </c>
      <c r="D20" s="16" t="inlineStr">
        <is>
          <t>Year 2</t>
        </is>
      </c>
      <c r="E20" s="16" t="inlineStr">
        <is>
          <t>Year 3</t>
        </is>
      </c>
    </row>
    <row r="21">
      <c r="B21" s="12" t="inlineStr">
        <is>
          <t>Supporter</t>
        </is>
      </c>
      <c r="C21" s="20">
        <f>SUMIF('Calc_Base'!$C$3:$AL$3,1,'Calc_Base'!$C$35:$AL$35)</f>
        <v/>
      </c>
      <c r="D21" s="20">
        <f>SUMIF('Calc_Base'!$C$3:$AL$3,2,'Calc_Base'!$C$35:$AL$35)</f>
        <v/>
      </c>
      <c r="E21" s="20">
        <f>SUMIF('Calc_Base'!$C$3:$AL$3,3,'Calc_Base'!$C$35:$AL$35)</f>
        <v/>
      </c>
    </row>
    <row r="22">
      <c r="B22" s="12" t="inlineStr">
        <is>
          <t>Pro</t>
        </is>
      </c>
      <c r="C22" s="20">
        <f>SUMIF('Calc_Base'!$C$3:$AL$3,1,'Calc_Base'!$C$36:$AL$36)</f>
        <v/>
      </c>
      <c r="D22" s="20">
        <f>SUMIF('Calc_Base'!$C$3:$AL$3,2,'Calc_Base'!$C$36:$AL$36)</f>
        <v/>
      </c>
      <c r="E22" s="20">
        <f>SUMIF('Calc_Base'!$C$3:$AL$3,3,'Calc_Base'!$C$36:$AL$36)</f>
        <v/>
      </c>
    </row>
    <row r="23">
      <c r="B23" s="12" t="inlineStr">
        <is>
          <t>Cloud</t>
        </is>
      </c>
      <c r="C23" s="20">
        <f>SUMIF('Calc_Base'!$C$3:$AL$3,1,'Calc_Base'!$C$37:$AL$37)</f>
        <v/>
      </c>
      <c r="D23" s="20">
        <f>SUMIF('Calc_Base'!$C$3:$AL$3,2,'Calc_Base'!$C$37:$AL$37)</f>
        <v/>
      </c>
      <c r="E23" s="20">
        <f>SUMIF('Calc_Base'!$C$3:$AL$3,3,'Calc_Base'!$C$37:$AL$37)</f>
        <v/>
      </c>
    </row>
    <row r="24">
      <c r="B24" s="12" t="inlineStr">
        <is>
          <t>Content</t>
        </is>
      </c>
      <c r="C24" s="20">
        <f>SUMIF('Calc_Base'!$C$3:$AL$3,1,'Calc_Base'!$C$38:$AL$38)</f>
        <v/>
      </c>
      <c r="D24" s="20">
        <f>SUMIF('Calc_Base'!$C$3:$AL$3,2,'Calc_Base'!$C$38:$AL$38)</f>
        <v/>
      </c>
      <c r="E24" s="20">
        <f>SUMIF('Calc_Base'!$C$3:$AL$3,3,'Calc_Base'!$C$38:$AL$38)</f>
        <v/>
      </c>
    </row>
    <row r="25">
      <c r="B25" s="12" t="inlineStr">
        <is>
          <t>Services</t>
        </is>
      </c>
      <c r="C25" s="20">
        <f>SUMIF('Calc_Base'!$C$3:$AL$3,1,'Calc_Base'!$C$39:$AL$39)</f>
        <v/>
      </c>
      <c r="D25" s="20">
        <f>SUMIF('Calc_Base'!$C$3:$AL$3,2,'Calc_Base'!$C$39:$AL$39)</f>
        <v/>
      </c>
      <c r="E25" s="20">
        <f>SUMIF('Calc_Base'!$C$3:$AL$3,3,'Calc_Base'!$C$39:$AL$39)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2" customWidth="1" min="5" max="5"/>
    <col width="50" customWidth="1" min="6" max="6"/>
  </cols>
  <sheetData>
    <row r="1">
      <c r="A1" s="1" t="inlineStr">
        <is>
          <t>ASSUMPTIONS — edit BLUE cells</t>
        </is>
      </c>
    </row>
    <row r="2">
      <c r="A2" s="12" t="inlineStr">
        <is>
          <t>Scenario toggle (1=Bear, 2=Base, 3=Bull)  -&gt;  used by Dashboard headline:</t>
        </is>
      </c>
      <c r="D2" s="21" t="n">
        <v>2</v>
      </c>
    </row>
    <row r="4">
      <c r="A4" s="22" t="inlineStr">
        <is>
          <t>Lever</t>
        </is>
      </c>
      <c r="B4" s="16" t="inlineStr">
        <is>
          <t>Bear</t>
        </is>
      </c>
      <c r="C4" s="16" t="inlineStr">
        <is>
          <t>Base</t>
        </is>
      </c>
      <c r="D4" s="16" t="inlineStr">
        <is>
          <t>Bull</t>
        </is>
      </c>
      <c r="F4" s="22" t="inlineStr">
        <is>
          <t>Unit / Notes</t>
        </is>
      </c>
    </row>
    <row r="5">
      <c r="A5" s="12" t="inlineStr">
        <is>
          <t>FUNNEL — Active installs (start, month 1)</t>
        </is>
      </c>
      <c r="B5" s="23" t="n">
        <v>150</v>
      </c>
      <c r="C5" s="23" t="n">
        <v>300</v>
      </c>
      <c r="D5" s="23" t="n">
        <v>600</v>
      </c>
      <c r="F5" s="3" t="inlineStr">
        <is>
          <t>Agent fleets with vaults initialized</t>
        </is>
      </c>
    </row>
    <row r="6">
      <c r="A6" t="inlineStr">
        <is>
          <t xml:space="preserve">  Installs — monthly growth %</t>
        </is>
      </c>
      <c r="B6" s="24" t="n">
        <v>0.07000000000000001</v>
      </c>
      <c r="C6" s="24" t="n">
        <v>0.1</v>
      </c>
      <c r="D6" s="24" t="n">
        <v>0.15</v>
      </c>
      <c r="F6" s="3" t="inlineStr">
        <is>
          <t>Compounding MoM (tapered by decay)</t>
        </is>
      </c>
    </row>
    <row r="7">
      <c r="A7" s="12" t="inlineStr">
        <is>
          <t>FUNNEL — Email subscribers (start)</t>
        </is>
      </c>
      <c r="B7" s="23" t="n">
        <v>200</v>
      </c>
      <c r="C7" s="23" t="n">
        <v>500</v>
      </c>
      <c r="D7" s="23" t="n">
        <v>1000</v>
      </c>
      <c r="F7" s="3" t="inlineStr">
        <is>
          <t>List feeding content/community</t>
        </is>
      </c>
    </row>
    <row r="8">
      <c r="A8" t="inlineStr">
        <is>
          <t xml:space="preserve">  Email — monthly growth %</t>
        </is>
      </c>
      <c r="B8" s="24" t="n">
        <v>0.05</v>
      </c>
      <c r="C8" s="24" t="n">
        <v>0.09</v>
      </c>
      <c r="D8" s="24" t="n">
        <v>0.13</v>
      </c>
      <c r="F8" s="3" t="inlineStr">
        <is>
          <t>Compounding MoM (tapered by decay)</t>
        </is>
      </c>
    </row>
    <row r="9">
      <c r="A9" s="12" t="inlineStr">
        <is>
          <t>FUNNEL — Service leads / month (start)</t>
        </is>
      </c>
      <c r="B9" s="25" t="n">
        <v>1.2</v>
      </c>
      <c r="C9" s="25" t="n">
        <v>2</v>
      </c>
      <c r="D9" s="25" t="n">
        <v>2</v>
      </c>
      <c r="F9" s="3" t="inlineStr">
        <is>
          <t>Estate Factory inbound</t>
        </is>
      </c>
    </row>
    <row r="10">
      <c r="A10" t="inlineStr">
        <is>
          <t xml:space="preserve">  Service leads — monthly growth %</t>
        </is>
      </c>
      <c r="B10" s="24" t="n">
        <v>0.02</v>
      </c>
      <c r="C10" s="24" t="n">
        <v>0.05</v>
      </c>
      <c r="D10" s="24" t="n">
        <v>0.07000000000000001</v>
      </c>
      <c r="F10" s="3" t="inlineStr">
        <is>
          <t>Compounding MoM (tapered by decay)</t>
        </is>
      </c>
    </row>
    <row r="11">
      <c r="A11" t="inlineStr">
        <is>
          <t xml:space="preserve">  Funnel growth — monthly decay factor</t>
        </is>
      </c>
      <c r="B11" s="26" t="n">
        <v>0.96</v>
      </c>
      <c r="C11" s="26" t="n">
        <v>0.95</v>
      </c>
      <c r="D11" s="26" t="n">
        <v>0.93</v>
      </c>
      <c r="F11" s="3" t="inlineStr">
        <is>
          <t>S-curve: effective growth = g x decay^(month-1). &lt;1 tapers.</t>
        </is>
      </c>
    </row>
    <row r="12">
      <c r="A12" s="12" t="inlineStr">
        <is>
          <t>[A] Supporter — monthly conversion % of installs</t>
        </is>
      </c>
      <c r="B12" s="24" t="n">
        <v>0.0015</v>
      </c>
      <c r="C12" s="24" t="n">
        <v>0.003</v>
      </c>
      <c r="D12" s="24" t="n">
        <v>0.005</v>
      </c>
      <c r="F12" s="3" t="inlineStr">
        <is>
          <t>Voluntary pay (Immich/FUTO); ~1-5%/yr</t>
        </is>
      </c>
    </row>
    <row r="13">
      <c r="A13" t="inlineStr">
        <is>
          <t>[A] Supporter — avg one-time payment $</t>
        </is>
      </c>
      <c r="B13" s="27" t="n">
        <v>30</v>
      </c>
      <c r="C13" s="27" t="n">
        <v>35</v>
      </c>
      <c r="D13" s="27" t="n">
        <v>45</v>
      </c>
      <c r="F13" s="3" t="inlineStr">
        <is>
          <t>Blend of $29 individual / $99-149 team</t>
        </is>
      </c>
    </row>
    <row r="15">
      <c r="A15" s="12" t="inlineStr">
        <is>
          <t>[B] Pro — launch month (1-36)</t>
        </is>
      </c>
      <c r="B15" s="23" t="n">
        <v>9</v>
      </c>
      <c r="C15" s="23" t="n">
        <v>6</v>
      </c>
      <c r="D15" s="23" t="n">
        <v>4</v>
      </c>
      <c r="F15" s="3" t="inlineStr">
        <is>
          <t>When self-serve Pro turns on</t>
        </is>
      </c>
    </row>
    <row r="16">
      <c r="A16" t="inlineStr">
        <is>
          <t>[B] Pro — trial starts % of installs / month</t>
        </is>
      </c>
      <c r="B16" s="24" t="n">
        <v>0.015</v>
      </c>
      <c r="C16" s="24" t="n">
        <v>0.03</v>
      </c>
      <c r="D16" s="24" t="n">
        <v>0.05</v>
      </c>
      <c r="F16" s="3" t="inlineStr"/>
    </row>
    <row r="17">
      <c r="A17" t="inlineStr">
        <is>
          <t>[B] Pro — trial -&gt; paid conversion %</t>
        </is>
      </c>
      <c r="B17" s="24" t="n">
        <v>0.08</v>
      </c>
      <c r="C17" s="24" t="n">
        <v>0.12</v>
      </c>
      <c r="D17" s="24" t="n">
        <v>0.18</v>
      </c>
      <c r="F17" s="3" t="inlineStr"/>
    </row>
    <row r="18">
      <c r="A18" t="inlineStr">
        <is>
          <t>[B] Pro — price per seat / month $</t>
        </is>
      </c>
      <c r="B18" s="27" t="n">
        <v>20</v>
      </c>
      <c r="C18" s="27" t="n">
        <v>25</v>
      </c>
      <c r="D18" s="27" t="n">
        <v>30</v>
      </c>
      <c r="F18" s="3" t="inlineStr">
        <is>
          <t>Letta $20 / LangSmith $39 anchors</t>
        </is>
      </c>
    </row>
    <row r="19">
      <c r="A19" t="inlineStr">
        <is>
          <t>[B] Pro — monthly churn %</t>
        </is>
      </c>
      <c r="B19" s="24" t="n">
        <v>0.06</v>
      </c>
      <c r="C19" s="24" t="n">
        <v>0.04</v>
      </c>
      <c r="D19" s="24" t="n">
        <v>0.03</v>
      </c>
      <c r="F19" s="3" t="inlineStr"/>
    </row>
    <row r="21">
      <c r="A21" s="12" t="inlineStr">
        <is>
          <t>[C] Cloud — launch month (1-36)</t>
        </is>
      </c>
      <c r="B21" s="23" t="n">
        <v>24</v>
      </c>
      <c r="C21" s="23" t="n">
        <v>18</v>
      </c>
      <c r="D21" s="23" t="n">
        <v>12</v>
      </c>
      <c r="F21" s="3" t="inlineStr">
        <is>
          <t>Managed substrate; later stage</t>
        </is>
      </c>
    </row>
    <row r="22">
      <c r="A22" t="inlineStr">
        <is>
          <t>[C] Cloud — attach % of paid seats</t>
        </is>
      </c>
      <c r="B22" s="24" t="n">
        <v>0.2</v>
      </c>
      <c r="C22" s="24" t="n">
        <v>0.3</v>
      </c>
      <c r="D22" s="24" t="n">
        <v>0.45</v>
      </c>
      <c r="F22" s="3" t="inlineStr"/>
    </row>
    <row r="23">
      <c r="A23" t="inlineStr">
        <is>
          <t>[C] Cloud — avg $ / seat / month</t>
        </is>
      </c>
      <c r="B23" s="27" t="n">
        <v>40</v>
      </c>
      <c r="C23" s="27" t="n">
        <v>60</v>
      </c>
      <c r="D23" s="27" t="n">
        <v>90</v>
      </c>
      <c r="F23" s="3" t="inlineStr">
        <is>
          <t>Usage-based managed runners</t>
        </is>
      </c>
    </row>
    <row r="25">
      <c r="A25" s="12" t="inlineStr">
        <is>
          <t>[E] Community — new joins % of email / month</t>
        </is>
      </c>
      <c r="B25" s="24" t="n">
        <v>0.004</v>
      </c>
      <c r="C25" s="24" t="n">
        <v>0.008</v>
      </c>
      <c r="D25" s="24" t="n">
        <v>0.013</v>
      </c>
      <c r="F25" s="3" t="inlineStr">
        <is>
          <t>Flow into paid community</t>
        </is>
      </c>
    </row>
    <row r="26">
      <c r="A26" t="inlineStr">
        <is>
          <t>[E] Community — price / month $</t>
        </is>
      </c>
      <c r="B26" s="27" t="n">
        <v>15</v>
      </c>
      <c r="C26" s="27" t="n">
        <v>20</v>
      </c>
      <c r="D26" s="27" t="n">
        <v>25</v>
      </c>
      <c r="F26" s="3" t="inlineStr"/>
    </row>
    <row r="27">
      <c r="A27" t="inlineStr">
        <is>
          <t>[E] Community — monthly churn %</t>
        </is>
      </c>
      <c r="B27" s="24" t="n">
        <v>0.08</v>
      </c>
      <c r="C27" s="24" t="n">
        <v>0.06</v>
      </c>
      <c r="D27" s="24" t="n">
        <v>0.04</v>
      </c>
      <c r="F27" s="3" t="inlineStr"/>
    </row>
    <row r="28">
      <c r="A28" t="inlineStr">
        <is>
          <t>[E] Course — monthly conversion % of email</t>
        </is>
      </c>
      <c r="B28" s="24" t="n">
        <v>0.003</v>
      </c>
      <c r="C28" s="24" t="n">
        <v>0.006</v>
      </c>
      <c r="D28" s="24" t="n">
        <v>0.01</v>
      </c>
      <c r="F28" s="3" t="inlineStr">
        <is>
          <t>Evergreen cohort/course sales</t>
        </is>
      </c>
    </row>
    <row r="29">
      <c r="A29" t="inlineStr">
        <is>
          <t>[E] Course — price / seat $</t>
        </is>
      </c>
      <c r="B29" s="27" t="n">
        <v>150</v>
      </c>
      <c r="C29" s="27" t="n">
        <v>250</v>
      </c>
      <c r="D29" s="27" t="n">
        <v>400</v>
      </c>
      <c r="F29" s="3" t="inlineStr"/>
    </row>
    <row r="31">
      <c r="A31" s="12" t="inlineStr">
        <is>
          <t>[D] Services — lead -&gt; discovery call %</t>
        </is>
      </c>
      <c r="B31" s="24" t="n">
        <v>0.4</v>
      </c>
      <c r="C31" s="24" t="n">
        <v>0.55</v>
      </c>
      <c r="D31" s="24" t="n">
        <v>0.65</v>
      </c>
      <c r="F31" s="3" t="inlineStr"/>
    </row>
    <row r="32">
      <c r="A32" t="inlineStr">
        <is>
          <t>[D] Services — call -&gt; close %</t>
        </is>
      </c>
      <c r="B32" s="24" t="n">
        <v>0.16</v>
      </c>
      <c r="C32" s="24" t="n">
        <v>0.25</v>
      </c>
      <c r="D32" s="24" t="n">
        <v>0.28</v>
      </c>
      <c r="F32" s="3" t="inlineStr"/>
    </row>
    <row r="33">
      <c r="A33" t="inlineStr">
        <is>
          <t>[D] Services — avg project ACV $</t>
        </is>
      </c>
      <c r="B33" s="27" t="n">
        <v>15000</v>
      </c>
      <c r="C33" s="27" t="n">
        <v>25000</v>
      </c>
      <c r="D33" s="27" t="n">
        <v>38000</v>
      </c>
      <c r="F33" s="3" t="inlineStr">
        <is>
          <t>Estate commission (repo: EUR25-75k)</t>
        </is>
      </c>
    </row>
    <row r="34">
      <c r="A34" t="inlineStr">
        <is>
          <t>[D] Services — retainer attach % of closes</t>
        </is>
      </c>
      <c r="B34" s="24" t="n">
        <v>0.3</v>
      </c>
      <c r="C34" s="24" t="n">
        <v>0.5</v>
      </c>
      <c r="D34" s="24" t="n">
        <v>0.65</v>
      </c>
      <c r="F34" s="3" t="inlineStr"/>
    </row>
    <row r="35">
      <c r="A35" t="inlineStr">
        <is>
          <t>[D] Services — retainer $ / month</t>
        </is>
      </c>
      <c r="B35" s="27" t="n">
        <v>2000</v>
      </c>
      <c r="C35" s="27" t="n">
        <v>3500</v>
      </c>
      <c r="D35" s="27" t="n">
        <v>5000</v>
      </c>
      <c r="F35" s="3" t="inlineStr">
        <is>
          <t>Steward retainer (repo: EUR1.5-5k/mo)</t>
        </is>
      </c>
    </row>
    <row r="36">
      <c r="A36" t="inlineStr">
        <is>
          <t>[D] Services — retainer monthly churn %</t>
        </is>
      </c>
      <c r="B36" s="24" t="n">
        <v>0.08</v>
      </c>
      <c r="C36" s="24" t="n">
        <v>0.05</v>
      </c>
      <c r="D36" s="24" t="n">
        <v>0.03</v>
      </c>
      <c r="F36" s="3" t="inlineStr"/>
    </row>
  </sheetData>
  <dataValidations count="1">
    <dataValidation sqref="D2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SENSITIVITY — which levers move Year-3 revenue most</t>
        </is>
      </c>
    </row>
    <row r="3">
      <c r="B3" s="3" t="inlineStr">
        <is>
          <t>Year-3 total revenue at each scenario's value for one lever, all else held at Base. Spread = impact.</t>
        </is>
      </c>
    </row>
    <row r="5">
      <c r="B5" s="15" t="inlineStr">
        <is>
          <t>Driver</t>
        </is>
      </c>
      <c r="C5" s="15" t="inlineStr">
        <is>
          <t>Bear Y3</t>
        </is>
      </c>
      <c r="D5" s="15" t="inlineStr">
        <is>
          <t>Base Y3</t>
        </is>
      </c>
      <c r="E5" s="15" t="inlineStr">
        <is>
          <t>Bull Y3</t>
        </is>
      </c>
      <c r="F5" s="15" t="inlineStr">
        <is>
          <t>Why it matters</t>
        </is>
      </c>
    </row>
    <row r="6">
      <c r="B6" s="12" t="inlineStr">
        <is>
          <t>All levers (full scenario)</t>
        </is>
      </c>
      <c r="C6" s="20">
        <f>SUMIF('Calc_Bear'!$C$3:$AL$3,3,'Calc_Bear'!$C$31:$AL$31)</f>
        <v/>
      </c>
      <c r="D6" s="20">
        <f>SUMIF('Calc_Base'!$C$3:$AL$3,3,'Calc_Base'!$C$31:$AL$31)</f>
        <v/>
      </c>
      <c r="E6" s="20">
        <f>SUMIF('Calc_Bull'!$C$3:$AL$3,3,'Calc_Bull'!$C$31:$AL$31)</f>
        <v/>
      </c>
      <c r="F6" s="3" t="inlineStr">
        <is>
          <t>Compounding effect of every assumption together — the envelope.</t>
        </is>
      </c>
    </row>
    <row r="7">
      <c r="B7" s="12" t="inlineStr">
        <is>
          <t>Service close-rate &amp; lead flow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3" t="inlineStr">
        <is>
          <t>Highest-leverage: each close = $25k + a retainer annuity. Top priority to instrument.</t>
        </is>
      </c>
    </row>
    <row r="8">
      <c r="B8" s="12" t="inlineStr">
        <is>
          <t>Email-list growth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3" t="inlineStr">
        <is>
          <t>Compounds into community + course every month; the cheapest scalable lever.</t>
        </is>
      </c>
    </row>
    <row r="9">
      <c r="B9" s="12" t="inlineStr">
        <is>
          <t>Installs growth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3" t="inlineStr">
        <is>
          <t>Feeds Pro + supporter; matters more in years 2-3 as Pro compounds.</t>
        </is>
      </c>
    </row>
    <row r="10">
      <c r="B10" s="12" t="inlineStr">
        <is>
          <t>Pro price &amp; churn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3" t="inlineStr">
        <is>
          <t>Sets the recurring annuity slope; churn quietly dominates at scale.</t>
        </is>
      </c>
    </row>
    <row r="11">
      <c r="B11" s="12" t="inlineStr">
        <is>
          <t>Supporter conversion</t>
        </is>
      </c>
      <c r="C11" s="28" t="inlineStr">
        <is>
          <t>—</t>
        </is>
      </c>
      <c r="D11" s="28" t="inlineStr">
        <is>
          <t>—</t>
        </is>
      </c>
      <c r="E11" s="28" t="inlineStr">
        <is>
          <t>—</t>
        </is>
      </c>
      <c r="F11" s="3" t="inlineStr">
        <is>
          <t>Near-zero impact — confirms it's a brand layer, not a revenue engine.</t>
        </is>
      </c>
    </row>
    <row r="13">
      <c r="B13" s="3" t="inlineStr">
        <is>
          <t>To run a true one-at-a-time test: change ONE blue lever on Assumptions for the Base column, recalc, and watch Base Y3 above move.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2" t="inlineStr">
        <is>
          <t>Bear ENGINE  (drives off Assumptions col B)</t>
        </is>
      </c>
    </row>
    <row r="2">
      <c r="A2" s="3" t="inlineStr">
        <is>
          <t>Month</t>
        </is>
      </c>
      <c r="C2" s="29" t="n">
        <v>1</v>
      </c>
      <c r="D2" s="29" t="n">
        <v>2</v>
      </c>
      <c r="E2" s="29" t="n">
        <v>3</v>
      </c>
      <c r="F2" s="29" t="n">
        <v>4</v>
      </c>
      <c r="G2" s="29" t="n">
        <v>5</v>
      </c>
      <c r="H2" s="29" t="n">
        <v>6</v>
      </c>
      <c r="I2" s="29" t="n">
        <v>7</v>
      </c>
      <c r="J2" s="29" t="n">
        <v>8</v>
      </c>
      <c r="K2" s="29" t="n">
        <v>9</v>
      </c>
      <c r="L2" s="29" t="n">
        <v>10</v>
      </c>
      <c r="M2" s="29" t="n">
        <v>11</v>
      </c>
      <c r="N2" s="29" t="n">
        <v>12</v>
      </c>
      <c r="O2" s="29" t="n">
        <v>13</v>
      </c>
      <c r="P2" s="29" t="n">
        <v>14</v>
      </c>
      <c r="Q2" s="29" t="n">
        <v>15</v>
      </c>
      <c r="R2" s="29" t="n">
        <v>16</v>
      </c>
      <c r="S2" s="29" t="n">
        <v>17</v>
      </c>
      <c r="T2" s="29" t="n">
        <v>18</v>
      </c>
      <c r="U2" s="29" t="n">
        <v>19</v>
      </c>
      <c r="V2" s="29" t="n">
        <v>20</v>
      </c>
      <c r="W2" s="29" t="n">
        <v>21</v>
      </c>
      <c r="X2" s="29" t="n">
        <v>22</v>
      </c>
      <c r="Y2" s="29" t="n">
        <v>23</v>
      </c>
      <c r="Z2" s="29" t="n">
        <v>24</v>
      </c>
      <c r="AA2" s="29" t="n">
        <v>25</v>
      </c>
      <c r="AB2" s="29" t="n">
        <v>26</v>
      </c>
      <c r="AC2" s="29" t="n">
        <v>27</v>
      </c>
      <c r="AD2" s="29" t="n">
        <v>28</v>
      </c>
      <c r="AE2" s="29" t="n">
        <v>29</v>
      </c>
      <c r="AF2" s="29" t="n">
        <v>30</v>
      </c>
      <c r="AG2" s="29" t="n">
        <v>31</v>
      </c>
      <c r="AH2" s="29" t="n">
        <v>32</v>
      </c>
      <c r="AI2" s="29" t="n">
        <v>33</v>
      </c>
      <c r="AJ2" s="29" t="n">
        <v>34</v>
      </c>
      <c r="AK2" s="29" t="n">
        <v>35</v>
      </c>
      <c r="AL2" s="29" t="n">
        <v>36</v>
      </c>
    </row>
    <row r="3">
      <c r="A3" s="3" t="inlineStr">
        <is>
          <t>Year</t>
        </is>
      </c>
      <c r="C3" s="30" t="n">
        <v>1</v>
      </c>
      <c r="D3" s="30" t="n">
        <v>1</v>
      </c>
      <c r="E3" s="30" t="n">
        <v>1</v>
      </c>
      <c r="F3" s="30" t="n">
        <v>1</v>
      </c>
      <c r="G3" s="30" t="n">
        <v>1</v>
      </c>
      <c r="H3" s="30" t="n">
        <v>1</v>
      </c>
      <c r="I3" s="30" t="n">
        <v>1</v>
      </c>
      <c r="J3" s="30" t="n">
        <v>1</v>
      </c>
      <c r="K3" s="30" t="n">
        <v>1</v>
      </c>
      <c r="L3" s="30" t="n">
        <v>1</v>
      </c>
      <c r="M3" s="30" t="n">
        <v>1</v>
      </c>
      <c r="N3" s="30" t="n">
        <v>1</v>
      </c>
      <c r="O3" s="30" t="n">
        <v>2</v>
      </c>
      <c r="P3" s="30" t="n">
        <v>2</v>
      </c>
      <c r="Q3" s="30" t="n">
        <v>2</v>
      </c>
      <c r="R3" s="30" t="n">
        <v>2</v>
      </c>
      <c r="S3" s="30" t="n">
        <v>2</v>
      </c>
      <c r="T3" s="30" t="n">
        <v>2</v>
      </c>
      <c r="U3" s="30" t="n">
        <v>2</v>
      </c>
      <c r="V3" s="30" t="n">
        <v>2</v>
      </c>
      <c r="W3" s="30" t="n">
        <v>2</v>
      </c>
      <c r="X3" s="30" t="n">
        <v>2</v>
      </c>
      <c r="Y3" s="30" t="n">
        <v>2</v>
      </c>
      <c r="Z3" s="30" t="n">
        <v>2</v>
      </c>
      <c r="AA3" s="30" t="n">
        <v>3</v>
      </c>
      <c r="AB3" s="30" t="n">
        <v>3</v>
      </c>
      <c r="AC3" s="30" t="n">
        <v>3</v>
      </c>
      <c r="AD3" s="30" t="n">
        <v>3</v>
      </c>
      <c r="AE3" s="30" t="n">
        <v>3</v>
      </c>
      <c r="AF3" s="30" t="n">
        <v>3</v>
      </c>
      <c r="AG3" s="30" t="n">
        <v>3</v>
      </c>
      <c r="AH3" s="30" t="n">
        <v>3</v>
      </c>
      <c r="AI3" s="30" t="n">
        <v>3</v>
      </c>
      <c r="AJ3" s="30" t="n">
        <v>3</v>
      </c>
      <c r="AK3" s="30" t="n">
        <v>3</v>
      </c>
      <c r="AL3" s="30" t="n">
        <v>3</v>
      </c>
    </row>
    <row r="5">
      <c r="A5" t="inlineStr">
        <is>
          <t>Active installs</t>
        </is>
      </c>
      <c r="C5" s="31">
        <f>Assumptions!$B$5</f>
        <v/>
      </c>
      <c r="D5" s="31">
        <f>C5*(1+Assumptions!$B$6*POWER(Assumptions!$B$11,D2-1))</f>
        <v/>
      </c>
      <c r="E5" s="31">
        <f>D5*(1+Assumptions!$B$6*POWER(Assumptions!$B$11,E2-1))</f>
        <v/>
      </c>
      <c r="F5" s="31">
        <f>E5*(1+Assumptions!$B$6*POWER(Assumptions!$B$11,F2-1))</f>
        <v/>
      </c>
      <c r="G5" s="31">
        <f>F5*(1+Assumptions!$B$6*POWER(Assumptions!$B$11,G2-1))</f>
        <v/>
      </c>
      <c r="H5" s="31">
        <f>G5*(1+Assumptions!$B$6*POWER(Assumptions!$B$11,H2-1))</f>
        <v/>
      </c>
      <c r="I5" s="31">
        <f>H5*(1+Assumptions!$B$6*POWER(Assumptions!$B$11,I2-1))</f>
        <v/>
      </c>
      <c r="J5" s="31">
        <f>I5*(1+Assumptions!$B$6*POWER(Assumptions!$B$11,J2-1))</f>
        <v/>
      </c>
      <c r="K5" s="31">
        <f>J5*(1+Assumptions!$B$6*POWER(Assumptions!$B$11,K2-1))</f>
        <v/>
      </c>
      <c r="L5" s="31">
        <f>K5*(1+Assumptions!$B$6*POWER(Assumptions!$B$11,L2-1))</f>
        <v/>
      </c>
      <c r="M5" s="31">
        <f>L5*(1+Assumptions!$B$6*POWER(Assumptions!$B$11,M2-1))</f>
        <v/>
      </c>
      <c r="N5" s="31">
        <f>M5*(1+Assumptions!$B$6*POWER(Assumptions!$B$11,N2-1))</f>
        <v/>
      </c>
      <c r="O5" s="31">
        <f>N5*(1+Assumptions!$B$6*POWER(Assumptions!$B$11,O2-1))</f>
        <v/>
      </c>
      <c r="P5" s="31">
        <f>O5*(1+Assumptions!$B$6*POWER(Assumptions!$B$11,P2-1))</f>
        <v/>
      </c>
      <c r="Q5" s="31">
        <f>P5*(1+Assumptions!$B$6*POWER(Assumptions!$B$11,Q2-1))</f>
        <v/>
      </c>
      <c r="R5" s="31">
        <f>Q5*(1+Assumptions!$B$6*POWER(Assumptions!$B$11,R2-1))</f>
        <v/>
      </c>
      <c r="S5" s="31">
        <f>R5*(1+Assumptions!$B$6*POWER(Assumptions!$B$11,S2-1))</f>
        <v/>
      </c>
      <c r="T5" s="31">
        <f>S5*(1+Assumptions!$B$6*POWER(Assumptions!$B$11,T2-1))</f>
        <v/>
      </c>
      <c r="U5" s="31">
        <f>T5*(1+Assumptions!$B$6*POWER(Assumptions!$B$11,U2-1))</f>
        <v/>
      </c>
      <c r="V5" s="31">
        <f>U5*(1+Assumptions!$B$6*POWER(Assumptions!$B$11,V2-1))</f>
        <v/>
      </c>
      <c r="W5" s="31">
        <f>V5*(1+Assumptions!$B$6*POWER(Assumptions!$B$11,W2-1))</f>
        <v/>
      </c>
      <c r="X5" s="31">
        <f>W5*(1+Assumptions!$B$6*POWER(Assumptions!$B$11,X2-1))</f>
        <v/>
      </c>
      <c r="Y5" s="31">
        <f>X5*(1+Assumptions!$B$6*POWER(Assumptions!$B$11,Y2-1))</f>
        <v/>
      </c>
      <c r="Z5" s="31">
        <f>Y5*(1+Assumptions!$B$6*POWER(Assumptions!$B$11,Z2-1))</f>
        <v/>
      </c>
      <c r="AA5" s="31">
        <f>Z5*(1+Assumptions!$B$6*POWER(Assumptions!$B$11,AA2-1))</f>
        <v/>
      </c>
      <c r="AB5" s="31">
        <f>AA5*(1+Assumptions!$B$6*POWER(Assumptions!$B$11,AB2-1))</f>
        <v/>
      </c>
      <c r="AC5" s="31">
        <f>AB5*(1+Assumptions!$B$6*POWER(Assumptions!$B$11,AC2-1))</f>
        <v/>
      </c>
      <c r="AD5" s="31">
        <f>AC5*(1+Assumptions!$B$6*POWER(Assumptions!$B$11,AD2-1))</f>
        <v/>
      </c>
      <c r="AE5" s="31">
        <f>AD5*(1+Assumptions!$B$6*POWER(Assumptions!$B$11,AE2-1))</f>
        <v/>
      </c>
      <c r="AF5" s="31">
        <f>AE5*(1+Assumptions!$B$6*POWER(Assumptions!$B$11,AF2-1))</f>
        <v/>
      </c>
      <c r="AG5" s="31">
        <f>AF5*(1+Assumptions!$B$6*POWER(Assumptions!$B$11,AG2-1))</f>
        <v/>
      </c>
      <c r="AH5" s="31">
        <f>AG5*(1+Assumptions!$B$6*POWER(Assumptions!$B$11,AH2-1))</f>
        <v/>
      </c>
      <c r="AI5" s="31">
        <f>AH5*(1+Assumptions!$B$6*POWER(Assumptions!$B$11,AI2-1))</f>
        <v/>
      </c>
      <c r="AJ5" s="31">
        <f>AI5*(1+Assumptions!$B$6*POWER(Assumptions!$B$11,AJ2-1))</f>
        <v/>
      </c>
      <c r="AK5" s="31">
        <f>AJ5*(1+Assumptions!$B$6*POWER(Assumptions!$B$11,AK2-1))</f>
        <v/>
      </c>
      <c r="AL5" s="31">
        <f>AK5*(1+Assumptions!$B$6*POWER(Assumptions!$B$11,AL2-1))</f>
        <v/>
      </c>
    </row>
    <row r="6">
      <c r="A6" t="inlineStr">
        <is>
          <t>Email subscribers</t>
        </is>
      </c>
      <c r="C6" s="31">
        <f>Assumptions!$B$7</f>
        <v/>
      </c>
      <c r="D6" s="31">
        <f>C6*(1+Assumptions!$B$8*POWER(Assumptions!$B$11,D2-1))</f>
        <v/>
      </c>
      <c r="E6" s="31">
        <f>D6*(1+Assumptions!$B$8*POWER(Assumptions!$B$11,E2-1))</f>
        <v/>
      </c>
      <c r="F6" s="31">
        <f>E6*(1+Assumptions!$B$8*POWER(Assumptions!$B$11,F2-1))</f>
        <v/>
      </c>
      <c r="G6" s="31">
        <f>F6*(1+Assumptions!$B$8*POWER(Assumptions!$B$11,G2-1))</f>
        <v/>
      </c>
      <c r="H6" s="31">
        <f>G6*(1+Assumptions!$B$8*POWER(Assumptions!$B$11,H2-1))</f>
        <v/>
      </c>
      <c r="I6" s="31">
        <f>H6*(1+Assumptions!$B$8*POWER(Assumptions!$B$11,I2-1))</f>
        <v/>
      </c>
      <c r="J6" s="31">
        <f>I6*(1+Assumptions!$B$8*POWER(Assumptions!$B$11,J2-1))</f>
        <v/>
      </c>
      <c r="K6" s="31">
        <f>J6*(1+Assumptions!$B$8*POWER(Assumptions!$B$11,K2-1))</f>
        <v/>
      </c>
      <c r="L6" s="31">
        <f>K6*(1+Assumptions!$B$8*POWER(Assumptions!$B$11,L2-1))</f>
        <v/>
      </c>
      <c r="M6" s="31">
        <f>L6*(1+Assumptions!$B$8*POWER(Assumptions!$B$11,M2-1))</f>
        <v/>
      </c>
      <c r="N6" s="31">
        <f>M6*(1+Assumptions!$B$8*POWER(Assumptions!$B$11,N2-1))</f>
        <v/>
      </c>
      <c r="O6" s="31">
        <f>N6*(1+Assumptions!$B$8*POWER(Assumptions!$B$11,O2-1))</f>
        <v/>
      </c>
      <c r="P6" s="31">
        <f>O6*(1+Assumptions!$B$8*POWER(Assumptions!$B$11,P2-1))</f>
        <v/>
      </c>
      <c r="Q6" s="31">
        <f>P6*(1+Assumptions!$B$8*POWER(Assumptions!$B$11,Q2-1))</f>
        <v/>
      </c>
      <c r="R6" s="31">
        <f>Q6*(1+Assumptions!$B$8*POWER(Assumptions!$B$11,R2-1))</f>
        <v/>
      </c>
      <c r="S6" s="31">
        <f>R6*(1+Assumptions!$B$8*POWER(Assumptions!$B$11,S2-1))</f>
        <v/>
      </c>
      <c r="T6" s="31">
        <f>S6*(1+Assumptions!$B$8*POWER(Assumptions!$B$11,T2-1))</f>
        <v/>
      </c>
      <c r="U6" s="31">
        <f>T6*(1+Assumptions!$B$8*POWER(Assumptions!$B$11,U2-1))</f>
        <v/>
      </c>
      <c r="V6" s="31">
        <f>U6*(1+Assumptions!$B$8*POWER(Assumptions!$B$11,V2-1))</f>
        <v/>
      </c>
      <c r="W6" s="31">
        <f>V6*(1+Assumptions!$B$8*POWER(Assumptions!$B$11,W2-1))</f>
        <v/>
      </c>
      <c r="X6" s="31">
        <f>W6*(1+Assumptions!$B$8*POWER(Assumptions!$B$11,X2-1))</f>
        <v/>
      </c>
      <c r="Y6" s="31">
        <f>X6*(1+Assumptions!$B$8*POWER(Assumptions!$B$11,Y2-1))</f>
        <v/>
      </c>
      <c r="Z6" s="31">
        <f>Y6*(1+Assumptions!$B$8*POWER(Assumptions!$B$11,Z2-1))</f>
        <v/>
      </c>
      <c r="AA6" s="31">
        <f>Z6*(1+Assumptions!$B$8*POWER(Assumptions!$B$11,AA2-1))</f>
        <v/>
      </c>
      <c r="AB6" s="31">
        <f>AA6*(1+Assumptions!$B$8*POWER(Assumptions!$B$11,AB2-1))</f>
        <v/>
      </c>
      <c r="AC6" s="31">
        <f>AB6*(1+Assumptions!$B$8*POWER(Assumptions!$B$11,AC2-1))</f>
        <v/>
      </c>
      <c r="AD6" s="31">
        <f>AC6*(1+Assumptions!$B$8*POWER(Assumptions!$B$11,AD2-1))</f>
        <v/>
      </c>
      <c r="AE6" s="31">
        <f>AD6*(1+Assumptions!$B$8*POWER(Assumptions!$B$11,AE2-1))</f>
        <v/>
      </c>
      <c r="AF6" s="31">
        <f>AE6*(1+Assumptions!$B$8*POWER(Assumptions!$B$11,AF2-1))</f>
        <v/>
      </c>
      <c r="AG6" s="31">
        <f>AF6*(1+Assumptions!$B$8*POWER(Assumptions!$B$11,AG2-1))</f>
        <v/>
      </c>
      <c r="AH6" s="31">
        <f>AG6*(1+Assumptions!$B$8*POWER(Assumptions!$B$11,AH2-1))</f>
        <v/>
      </c>
      <c r="AI6" s="31">
        <f>AH6*(1+Assumptions!$B$8*POWER(Assumptions!$B$11,AI2-1))</f>
        <v/>
      </c>
      <c r="AJ6" s="31">
        <f>AI6*(1+Assumptions!$B$8*POWER(Assumptions!$B$11,AJ2-1))</f>
        <v/>
      </c>
      <c r="AK6" s="31">
        <f>AJ6*(1+Assumptions!$B$8*POWER(Assumptions!$B$11,AK2-1))</f>
        <v/>
      </c>
      <c r="AL6" s="31">
        <f>AK6*(1+Assumptions!$B$8*POWER(Assumptions!$B$11,AL2-1))</f>
        <v/>
      </c>
    </row>
    <row r="7">
      <c r="A7" t="inlineStr">
        <is>
          <t>Service leads / mo</t>
        </is>
      </c>
      <c r="C7" s="31">
        <f>Assumptions!$B$9</f>
        <v/>
      </c>
      <c r="D7" s="31">
        <f>C7*(1+Assumptions!$B$10*POWER(Assumptions!$B$11,D2-1))</f>
        <v/>
      </c>
      <c r="E7" s="31">
        <f>D7*(1+Assumptions!$B$10*POWER(Assumptions!$B$11,E2-1))</f>
        <v/>
      </c>
      <c r="F7" s="31">
        <f>E7*(1+Assumptions!$B$10*POWER(Assumptions!$B$11,F2-1))</f>
        <v/>
      </c>
      <c r="G7" s="31">
        <f>F7*(1+Assumptions!$B$10*POWER(Assumptions!$B$11,G2-1))</f>
        <v/>
      </c>
      <c r="H7" s="31">
        <f>G7*(1+Assumptions!$B$10*POWER(Assumptions!$B$11,H2-1))</f>
        <v/>
      </c>
      <c r="I7" s="31">
        <f>H7*(1+Assumptions!$B$10*POWER(Assumptions!$B$11,I2-1))</f>
        <v/>
      </c>
      <c r="J7" s="31">
        <f>I7*(1+Assumptions!$B$10*POWER(Assumptions!$B$11,J2-1))</f>
        <v/>
      </c>
      <c r="K7" s="31">
        <f>J7*(1+Assumptions!$B$10*POWER(Assumptions!$B$11,K2-1))</f>
        <v/>
      </c>
      <c r="L7" s="31">
        <f>K7*(1+Assumptions!$B$10*POWER(Assumptions!$B$11,L2-1))</f>
        <v/>
      </c>
      <c r="M7" s="31">
        <f>L7*(1+Assumptions!$B$10*POWER(Assumptions!$B$11,M2-1))</f>
        <v/>
      </c>
      <c r="N7" s="31">
        <f>M7*(1+Assumptions!$B$10*POWER(Assumptions!$B$11,N2-1))</f>
        <v/>
      </c>
      <c r="O7" s="31">
        <f>N7*(1+Assumptions!$B$10*POWER(Assumptions!$B$11,O2-1))</f>
        <v/>
      </c>
      <c r="P7" s="31">
        <f>O7*(1+Assumptions!$B$10*POWER(Assumptions!$B$11,P2-1))</f>
        <v/>
      </c>
      <c r="Q7" s="31">
        <f>P7*(1+Assumptions!$B$10*POWER(Assumptions!$B$11,Q2-1))</f>
        <v/>
      </c>
      <c r="R7" s="31">
        <f>Q7*(1+Assumptions!$B$10*POWER(Assumptions!$B$11,R2-1))</f>
        <v/>
      </c>
      <c r="S7" s="31">
        <f>R7*(1+Assumptions!$B$10*POWER(Assumptions!$B$11,S2-1))</f>
        <v/>
      </c>
      <c r="T7" s="31">
        <f>S7*(1+Assumptions!$B$10*POWER(Assumptions!$B$11,T2-1))</f>
        <v/>
      </c>
      <c r="U7" s="31">
        <f>T7*(1+Assumptions!$B$10*POWER(Assumptions!$B$11,U2-1))</f>
        <v/>
      </c>
      <c r="V7" s="31">
        <f>U7*(1+Assumptions!$B$10*POWER(Assumptions!$B$11,V2-1))</f>
        <v/>
      </c>
      <c r="W7" s="31">
        <f>V7*(1+Assumptions!$B$10*POWER(Assumptions!$B$11,W2-1))</f>
        <v/>
      </c>
      <c r="X7" s="31">
        <f>W7*(1+Assumptions!$B$10*POWER(Assumptions!$B$11,X2-1))</f>
        <v/>
      </c>
      <c r="Y7" s="31">
        <f>X7*(1+Assumptions!$B$10*POWER(Assumptions!$B$11,Y2-1))</f>
        <v/>
      </c>
      <c r="Z7" s="31">
        <f>Y7*(1+Assumptions!$B$10*POWER(Assumptions!$B$11,Z2-1))</f>
        <v/>
      </c>
      <c r="AA7" s="31">
        <f>Z7*(1+Assumptions!$B$10*POWER(Assumptions!$B$11,AA2-1))</f>
        <v/>
      </c>
      <c r="AB7" s="31">
        <f>AA7*(1+Assumptions!$B$10*POWER(Assumptions!$B$11,AB2-1))</f>
        <v/>
      </c>
      <c r="AC7" s="31">
        <f>AB7*(1+Assumptions!$B$10*POWER(Assumptions!$B$11,AC2-1))</f>
        <v/>
      </c>
      <c r="AD7" s="31">
        <f>AC7*(1+Assumptions!$B$10*POWER(Assumptions!$B$11,AD2-1))</f>
        <v/>
      </c>
      <c r="AE7" s="31">
        <f>AD7*(1+Assumptions!$B$10*POWER(Assumptions!$B$11,AE2-1))</f>
        <v/>
      </c>
      <c r="AF7" s="31">
        <f>AE7*(1+Assumptions!$B$10*POWER(Assumptions!$B$11,AF2-1))</f>
        <v/>
      </c>
      <c r="AG7" s="31">
        <f>AF7*(1+Assumptions!$B$10*POWER(Assumptions!$B$11,AG2-1))</f>
        <v/>
      </c>
      <c r="AH7" s="31">
        <f>AG7*(1+Assumptions!$B$10*POWER(Assumptions!$B$11,AH2-1))</f>
        <v/>
      </c>
      <c r="AI7" s="31">
        <f>AH7*(1+Assumptions!$B$10*POWER(Assumptions!$B$11,AI2-1))</f>
        <v/>
      </c>
      <c r="AJ7" s="31">
        <f>AI7*(1+Assumptions!$B$10*POWER(Assumptions!$B$11,AJ2-1))</f>
        <v/>
      </c>
      <c r="AK7" s="31">
        <f>AJ7*(1+Assumptions!$B$10*POWER(Assumptions!$B$11,AK2-1))</f>
        <v/>
      </c>
      <c r="AL7" s="31">
        <f>AK7*(1+Assumptions!$B$10*POWER(Assumptions!$B$11,AL2-1))</f>
        <v/>
      </c>
    </row>
    <row r="9">
      <c r="A9" t="inlineStr">
        <is>
          <t>[A] New supporter payers</t>
        </is>
      </c>
      <c r="C9" s="31">
        <f>C5*Assumptions!$B$12</f>
        <v/>
      </c>
      <c r="D9" s="31">
        <f>D5*Assumptions!$B$12</f>
        <v/>
      </c>
      <c r="E9" s="31">
        <f>E5*Assumptions!$B$12</f>
        <v/>
      </c>
      <c r="F9" s="31">
        <f>F5*Assumptions!$B$12</f>
        <v/>
      </c>
      <c r="G9" s="31">
        <f>G5*Assumptions!$B$12</f>
        <v/>
      </c>
      <c r="H9" s="31">
        <f>H5*Assumptions!$B$12</f>
        <v/>
      </c>
      <c r="I9" s="31">
        <f>I5*Assumptions!$B$12</f>
        <v/>
      </c>
      <c r="J9" s="31">
        <f>J5*Assumptions!$B$12</f>
        <v/>
      </c>
      <c r="K9" s="31">
        <f>K5*Assumptions!$B$12</f>
        <v/>
      </c>
      <c r="L9" s="31">
        <f>L5*Assumptions!$B$12</f>
        <v/>
      </c>
      <c r="M9" s="31">
        <f>M5*Assumptions!$B$12</f>
        <v/>
      </c>
      <c r="N9" s="31">
        <f>N5*Assumptions!$B$12</f>
        <v/>
      </c>
      <c r="O9" s="31">
        <f>O5*Assumptions!$B$12</f>
        <v/>
      </c>
      <c r="P9" s="31">
        <f>P5*Assumptions!$B$12</f>
        <v/>
      </c>
      <c r="Q9" s="31">
        <f>Q5*Assumptions!$B$12</f>
        <v/>
      </c>
      <c r="R9" s="31">
        <f>R5*Assumptions!$B$12</f>
        <v/>
      </c>
      <c r="S9" s="31">
        <f>S5*Assumptions!$B$12</f>
        <v/>
      </c>
      <c r="T9" s="31">
        <f>T5*Assumptions!$B$12</f>
        <v/>
      </c>
      <c r="U9" s="31">
        <f>U5*Assumptions!$B$12</f>
        <v/>
      </c>
      <c r="V9" s="31">
        <f>V5*Assumptions!$B$12</f>
        <v/>
      </c>
      <c r="W9" s="31">
        <f>W5*Assumptions!$B$12</f>
        <v/>
      </c>
      <c r="X9" s="31">
        <f>X5*Assumptions!$B$12</f>
        <v/>
      </c>
      <c r="Y9" s="31">
        <f>Y5*Assumptions!$B$12</f>
        <v/>
      </c>
      <c r="Z9" s="31">
        <f>Z5*Assumptions!$B$12</f>
        <v/>
      </c>
      <c r="AA9" s="31">
        <f>AA5*Assumptions!$B$12</f>
        <v/>
      </c>
      <c r="AB9" s="31">
        <f>AB5*Assumptions!$B$12</f>
        <v/>
      </c>
      <c r="AC9" s="31">
        <f>AC5*Assumptions!$B$12</f>
        <v/>
      </c>
      <c r="AD9" s="31">
        <f>AD5*Assumptions!$B$12</f>
        <v/>
      </c>
      <c r="AE9" s="31">
        <f>AE5*Assumptions!$B$12</f>
        <v/>
      </c>
      <c r="AF9" s="31">
        <f>AF5*Assumptions!$B$12</f>
        <v/>
      </c>
      <c r="AG9" s="31">
        <f>AG5*Assumptions!$B$12</f>
        <v/>
      </c>
      <c r="AH9" s="31">
        <f>AH5*Assumptions!$B$12</f>
        <v/>
      </c>
      <c r="AI9" s="31">
        <f>AI5*Assumptions!$B$12</f>
        <v/>
      </c>
      <c r="AJ9" s="31">
        <f>AJ5*Assumptions!$B$12</f>
        <v/>
      </c>
      <c r="AK9" s="31">
        <f>AK5*Assumptions!$B$12</f>
        <v/>
      </c>
      <c r="AL9" s="31">
        <f>AL5*Assumptions!$B$12</f>
        <v/>
      </c>
    </row>
    <row r="10">
      <c r="A10" t="inlineStr">
        <is>
          <t>[A] Supporter revenue</t>
        </is>
      </c>
      <c r="C10" s="32">
        <f>C9*Assumptions!$B$13</f>
        <v/>
      </c>
      <c r="D10" s="32">
        <f>D9*Assumptions!$B$13</f>
        <v/>
      </c>
      <c r="E10" s="32">
        <f>E9*Assumptions!$B$13</f>
        <v/>
      </c>
      <c r="F10" s="32">
        <f>F9*Assumptions!$B$13</f>
        <v/>
      </c>
      <c r="G10" s="32">
        <f>G9*Assumptions!$B$13</f>
        <v/>
      </c>
      <c r="H10" s="32">
        <f>H9*Assumptions!$B$13</f>
        <v/>
      </c>
      <c r="I10" s="32">
        <f>I9*Assumptions!$B$13</f>
        <v/>
      </c>
      <c r="J10" s="32">
        <f>J9*Assumptions!$B$13</f>
        <v/>
      </c>
      <c r="K10" s="32">
        <f>K9*Assumptions!$B$13</f>
        <v/>
      </c>
      <c r="L10" s="32">
        <f>L9*Assumptions!$B$13</f>
        <v/>
      </c>
      <c r="M10" s="32">
        <f>M9*Assumptions!$B$13</f>
        <v/>
      </c>
      <c r="N10" s="32">
        <f>N9*Assumptions!$B$13</f>
        <v/>
      </c>
      <c r="O10" s="32">
        <f>O9*Assumptions!$B$13</f>
        <v/>
      </c>
      <c r="P10" s="32">
        <f>P9*Assumptions!$B$13</f>
        <v/>
      </c>
      <c r="Q10" s="32">
        <f>Q9*Assumptions!$B$13</f>
        <v/>
      </c>
      <c r="R10" s="32">
        <f>R9*Assumptions!$B$13</f>
        <v/>
      </c>
      <c r="S10" s="32">
        <f>S9*Assumptions!$B$13</f>
        <v/>
      </c>
      <c r="T10" s="32">
        <f>T9*Assumptions!$B$13</f>
        <v/>
      </c>
      <c r="U10" s="32">
        <f>U9*Assumptions!$B$13</f>
        <v/>
      </c>
      <c r="V10" s="32">
        <f>V9*Assumptions!$B$13</f>
        <v/>
      </c>
      <c r="W10" s="32">
        <f>W9*Assumptions!$B$13</f>
        <v/>
      </c>
      <c r="X10" s="32">
        <f>X9*Assumptions!$B$13</f>
        <v/>
      </c>
      <c r="Y10" s="32">
        <f>Y9*Assumptions!$B$13</f>
        <v/>
      </c>
      <c r="Z10" s="32">
        <f>Z9*Assumptions!$B$13</f>
        <v/>
      </c>
      <c r="AA10" s="32">
        <f>AA9*Assumptions!$B$13</f>
        <v/>
      </c>
      <c r="AB10" s="32">
        <f>AB9*Assumptions!$B$13</f>
        <v/>
      </c>
      <c r="AC10" s="32">
        <f>AC9*Assumptions!$B$13</f>
        <v/>
      </c>
      <c r="AD10" s="32">
        <f>AD9*Assumptions!$B$13</f>
        <v/>
      </c>
      <c r="AE10" s="32">
        <f>AE9*Assumptions!$B$13</f>
        <v/>
      </c>
      <c r="AF10" s="32">
        <f>AF9*Assumptions!$B$13</f>
        <v/>
      </c>
      <c r="AG10" s="32">
        <f>AG9*Assumptions!$B$13</f>
        <v/>
      </c>
      <c r="AH10" s="32">
        <f>AH9*Assumptions!$B$13</f>
        <v/>
      </c>
      <c r="AI10" s="32">
        <f>AI9*Assumptions!$B$13</f>
        <v/>
      </c>
      <c r="AJ10" s="32">
        <f>AJ9*Assumptions!$B$13</f>
        <v/>
      </c>
      <c r="AK10" s="32">
        <f>AK9*Assumptions!$B$13</f>
        <v/>
      </c>
      <c r="AL10" s="32">
        <f>AL9*Assumptions!$B$13</f>
        <v/>
      </c>
    </row>
    <row r="12">
      <c r="A12" t="inlineStr">
        <is>
          <t>[B] Pro trials</t>
        </is>
      </c>
      <c r="C12" s="31">
        <f>IF(C2&gt;=Assumptions!$B$15,C5*Assumptions!$B$16,0)</f>
        <v/>
      </c>
      <c r="D12" s="31">
        <f>IF(D2&gt;=Assumptions!$B$15,D5*Assumptions!$B$16,0)</f>
        <v/>
      </c>
      <c r="E12" s="31">
        <f>IF(E2&gt;=Assumptions!$B$15,E5*Assumptions!$B$16,0)</f>
        <v/>
      </c>
      <c r="F12" s="31">
        <f>IF(F2&gt;=Assumptions!$B$15,F5*Assumptions!$B$16,0)</f>
        <v/>
      </c>
      <c r="G12" s="31">
        <f>IF(G2&gt;=Assumptions!$B$15,G5*Assumptions!$B$16,0)</f>
        <v/>
      </c>
      <c r="H12" s="31">
        <f>IF(H2&gt;=Assumptions!$B$15,H5*Assumptions!$B$16,0)</f>
        <v/>
      </c>
      <c r="I12" s="31">
        <f>IF(I2&gt;=Assumptions!$B$15,I5*Assumptions!$B$16,0)</f>
        <v/>
      </c>
      <c r="J12" s="31">
        <f>IF(J2&gt;=Assumptions!$B$15,J5*Assumptions!$B$16,0)</f>
        <v/>
      </c>
      <c r="K12" s="31">
        <f>IF(K2&gt;=Assumptions!$B$15,K5*Assumptions!$B$16,0)</f>
        <v/>
      </c>
      <c r="L12" s="31">
        <f>IF(L2&gt;=Assumptions!$B$15,L5*Assumptions!$B$16,0)</f>
        <v/>
      </c>
      <c r="M12" s="31">
        <f>IF(M2&gt;=Assumptions!$B$15,M5*Assumptions!$B$16,0)</f>
        <v/>
      </c>
      <c r="N12" s="31">
        <f>IF(N2&gt;=Assumptions!$B$15,N5*Assumptions!$B$16,0)</f>
        <v/>
      </c>
      <c r="O12" s="31">
        <f>IF(O2&gt;=Assumptions!$B$15,O5*Assumptions!$B$16,0)</f>
        <v/>
      </c>
      <c r="P12" s="31">
        <f>IF(P2&gt;=Assumptions!$B$15,P5*Assumptions!$B$16,0)</f>
        <v/>
      </c>
      <c r="Q12" s="31">
        <f>IF(Q2&gt;=Assumptions!$B$15,Q5*Assumptions!$B$16,0)</f>
        <v/>
      </c>
      <c r="R12" s="31">
        <f>IF(R2&gt;=Assumptions!$B$15,R5*Assumptions!$B$16,0)</f>
        <v/>
      </c>
      <c r="S12" s="31">
        <f>IF(S2&gt;=Assumptions!$B$15,S5*Assumptions!$B$16,0)</f>
        <v/>
      </c>
      <c r="T12" s="31">
        <f>IF(T2&gt;=Assumptions!$B$15,T5*Assumptions!$B$16,0)</f>
        <v/>
      </c>
      <c r="U12" s="31">
        <f>IF(U2&gt;=Assumptions!$B$15,U5*Assumptions!$B$16,0)</f>
        <v/>
      </c>
      <c r="V12" s="31">
        <f>IF(V2&gt;=Assumptions!$B$15,V5*Assumptions!$B$16,0)</f>
        <v/>
      </c>
      <c r="W12" s="31">
        <f>IF(W2&gt;=Assumptions!$B$15,W5*Assumptions!$B$16,0)</f>
        <v/>
      </c>
      <c r="X12" s="31">
        <f>IF(X2&gt;=Assumptions!$B$15,X5*Assumptions!$B$16,0)</f>
        <v/>
      </c>
      <c r="Y12" s="31">
        <f>IF(Y2&gt;=Assumptions!$B$15,Y5*Assumptions!$B$16,0)</f>
        <v/>
      </c>
      <c r="Z12" s="31">
        <f>IF(Z2&gt;=Assumptions!$B$15,Z5*Assumptions!$B$16,0)</f>
        <v/>
      </c>
      <c r="AA12" s="31">
        <f>IF(AA2&gt;=Assumptions!$B$15,AA5*Assumptions!$B$16,0)</f>
        <v/>
      </c>
      <c r="AB12" s="31">
        <f>IF(AB2&gt;=Assumptions!$B$15,AB5*Assumptions!$B$16,0)</f>
        <v/>
      </c>
      <c r="AC12" s="31">
        <f>IF(AC2&gt;=Assumptions!$B$15,AC5*Assumptions!$B$16,0)</f>
        <v/>
      </c>
      <c r="AD12" s="31">
        <f>IF(AD2&gt;=Assumptions!$B$15,AD5*Assumptions!$B$16,0)</f>
        <v/>
      </c>
      <c r="AE12" s="31">
        <f>IF(AE2&gt;=Assumptions!$B$15,AE5*Assumptions!$B$16,0)</f>
        <v/>
      </c>
      <c r="AF12" s="31">
        <f>IF(AF2&gt;=Assumptions!$B$15,AF5*Assumptions!$B$16,0)</f>
        <v/>
      </c>
      <c r="AG12" s="31">
        <f>IF(AG2&gt;=Assumptions!$B$15,AG5*Assumptions!$B$16,0)</f>
        <v/>
      </c>
      <c r="AH12" s="31">
        <f>IF(AH2&gt;=Assumptions!$B$15,AH5*Assumptions!$B$16,0)</f>
        <v/>
      </c>
      <c r="AI12" s="31">
        <f>IF(AI2&gt;=Assumptions!$B$15,AI5*Assumptions!$B$16,0)</f>
        <v/>
      </c>
      <c r="AJ12" s="31">
        <f>IF(AJ2&gt;=Assumptions!$B$15,AJ5*Assumptions!$B$16,0)</f>
        <v/>
      </c>
      <c r="AK12" s="31">
        <f>IF(AK2&gt;=Assumptions!$B$15,AK5*Assumptions!$B$16,0)</f>
        <v/>
      </c>
      <c r="AL12" s="31">
        <f>IF(AL2&gt;=Assumptions!$B$15,AL5*Assumptions!$B$16,0)</f>
        <v/>
      </c>
    </row>
    <row r="13">
      <c r="A13" t="inlineStr">
        <is>
          <t>[B] New paid seats</t>
        </is>
      </c>
      <c r="C13" s="31">
        <f>C12*Assumptions!$B$17</f>
        <v/>
      </c>
      <c r="D13" s="31">
        <f>D12*Assumptions!$B$17</f>
        <v/>
      </c>
      <c r="E13" s="31">
        <f>E12*Assumptions!$B$17</f>
        <v/>
      </c>
      <c r="F13" s="31">
        <f>F12*Assumptions!$B$17</f>
        <v/>
      </c>
      <c r="G13" s="31">
        <f>G12*Assumptions!$B$17</f>
        <v/>
      </c>
      <c r="H13" s="31">
        <f>H12*Assumptions!$B$17</f>
        <v/>
      </c>
      <c r="I13" s="31">
        <f>I12*Assumptions!$B$17</f>
        <v/>
      </c>
      <c r="J13" s="31">
        <f>J12*Assumptions!$B$17</f>
        <v/>
      </c>
      <c r="K13" s="31">
        <f>K12*Assumptions!$B$17</f>
        <v/>
      </c>
      <c r="L13" s="31">
        <f>L12*Assumptions!$B$17</f>
        <v/>
      </c>
      <c r="M13" s="31">
        <f>M12*Assumptions!$B$17</f>
        <v/>
      </c>
      <c r="N13" s="31">
        <f>N12*Assumptions!$B$17</f>
        <v/>
      </c>
      <c r="O13" s="31">
        <f>O12*Assumptions!$B$17</f>
        <v/>
      </c>
      <c r="P13" s="31">
        <f>P12*Assumptions!$B$17</f>
        <v/>
      </c>
      <c r="Q13" s="31">
        <f>Q12*Assumptions!$B$17</f>
        <v/>
      </c>
      <c r="R13" s="31">
        <f>R12*Assumptions!$B$17</f>
        <v/>
      </c>
      <c r="S13" s="31">
        <f>S12*Assumptions!$B$17</f>
        <v/>
      </c>
      <c r="T13" s="31">
        <f>T12*Assumptions!$B$17</f>
        <v/>
      </c>
      <c r="U13" s="31">
        <f>U12*Assumptions!$B$17</f>
        <v/>
      </c>
      <c r="V13" s="31">
        <f>V12*Assumptions!$B$17</f>
        <v/>
      </c>
      <c r="W13" s="31">
        <f>W12*Assumptions!$B$17</f>
        <v/>
      </c>
      <c r="X13" s="31">
        <f>X12*Assumptions!$B$17</f>
        <v/>
      </c>
      <c r="Y13" s="31">
        <f>Y12*Assumptions!$B$17</f>
        <v/>
      </c>
      <c r="Z13" s="31">
        <f>Z12*Assumptions!$B$17</f>
        <v/>
      </c>
      <c r="AA13" s="31">
        <f>AA12*Assumptions!$B$17</f>
        <v/>
      </c>
      <c r="AB13" s="31">
        <f>AB12*Assumptions!$B$17</f>
        <v/>
      </c>
      <c r="AC13" s="31">
        <f>AC12*Assumptions!$B$17</f>
        <v/>
      </c>
      <c r="AD13" s="31">
        <f>AD12*Assumptions!$B$17</f>
        <v/>
      </c>
      <c r="AE13" s="31">
        <f>AE12*Assumptions!$B$17</f>
        <v/>
      </c>
      <c r="AF13" s="31">
        <f>AF12*Assumptions!$B$17</f>
        <v/>
      </c>
      <c r="AG13" s="31">
        <f>AG12*Assumptions!$B$17</f>
        <v/>
      </c>
      <c r="AH13" s="31">
        <f>AH12*Assumptions!$B$17</f>
        <v/>
      </c>
      <c r="AI13" s="31">
        <f>AI12*Assumptions!$B$17</f>
        <v/>
      </c>
      <c r="AJ13" s="31">
        <f>AJ12*Assumptions!$B$17</f>
        <v/>
      </c>
      <c r="AK13" s="31">
        <f>AK12*Assumptions!$B$17</f>
        <v/>
      </c>
      <c r="AL13" s="31">
        <f>AL12*Assumptions!$B$17</f>
        <v/>
      </c>
    </row>
    <row r="14">
      <c r="A14" t="inlineStr">
        <is>
          <t>[B] Active paid seats</t>
        </is>
      </c>
      <c r="C14" s="31">
        <f>C13</f>
        <v/>
      </c>
      <c r="D14" s="31">
        <f>C14*(1-Assumptions!$B$19)+D13</f>
        <v/>
      </c>
      <c r="E14" s="31">
        <f>D14*(1-Assumptions!$B$19)+E13</f>
        <v/>
      </c>
      <c r="F14" s="31">
        <f>E14*(1-Assumptions!$B$19)+F13</f>
        <v/>
      </c>
      <c r="G14" s="31">
        <f>F14*(1-Assumptions!$B$19)+G13</f>
        <v/>
      </c>
      <c r="H14" s="31">
        <f>G14*(1-Assumptions!$B$19)+H13</f>
        <v/>
      </c>
      <c r="I14" s="31">
        <f>H14*(1-Assumptions!$B$19)+I13</f>
        <v/>
      </c>
      <c r="J14" s="31">
        <f>I14*(1-Assumptions!$B$19)+J13</f>
        <v/>
      </c>
      <c r="K14" s="31">
        <f>J14*(1-Assumptions!$B$19)+K13</f>
        <v/>
      </c>
      <c r="L14" s="31">
        <f>K14*(1-Assumptions!$B$19)+L13</f>
        <v/>
      </c>
      <c r="M14" s="31">
        <f>L14*(1-Assumptions!$B$19)+M13</f>
        <v/>
      </c>
      <c r="N14" s="31">
        <f>M14*(1-Assumptions!$B$19)+N13</f>
        <v/>
      </c>
      <c r="O14" s="31">
        <f>N14*(1-Assumptions!$B$19)+O13</f>
        <v/>
      </c>
      <c r="P14" s="31">
        <f>O14*(1-Assumptions!$B$19)+P13</f>
        <v/>
      </c>
      <c r="Q14" s="31">
        <f>P14*(1-Assumptions!$B$19)+Q13</f>
        <v/>
      </c>
      <c r="R14" s="31">
        <f>Q14*(1-Assumptions!$B$19)+R13</f>
        <v/>
      </c>
      <c r="S14" s="31">
        <f>R14*(1-Assumptions!$B$19)+S13</f>
        <v/>
      </c>
      <c r="T14" s="31">
        <f>S14*(1-Assumptions!$B$19)+T13</f>
        <v/>
      </c>
      <c r="U14" s="31">
        <f>T14*(1-Assumptions!$B$19)+U13</f>
        <v/>
      </c>
      <c r="V14" s="31">
        <f>U14*(1-Assumptions!$B$19)+V13</f>
        <v/>
      </c>
      <c r="W14" s="31">
        <f>V14*(1-Assumptions!$B$19)+W13</f>
        <v/>
      </c>
      <c r="X14" s="31">
        <f>W14*(1-Assumptions!$B$19)+X13</f>
        <v/>
      </c>
      <c r="Y14" s="31">
        <f>X14*(1-Assumptions!$B$19)+Y13</f>
        <v/>
      </c>
      <c r="Z14" s="31">
        <f>Y14*(1-Assumptions!$B$19)+Z13</f>
        <v/>
      </c>
      <c r="AA14" s="31">
        <f>Z14*(1-Assumptions!$B$19)+AA13</f>
        <v/>
      </c>
      <c r="AB14" s="31">
        <f>AA14*(1-Assumptions!$B$19)+AB13</f>
        <v/>
      </c>
      <c r="AC14" s="31">
        <f>AB14*(1-Assumptions!$B$19)+AC13</f>
        <v/>
      </c>
      <c r="AD14" s="31">
        <f>AC14*(1-Assumptions!$B$19)+AD13</f>
        <v/>
      </c>
      <c r="AE14" s="31">
        <f>AD14*(1-Assumptions!$B$19)+AE13</f>
        <v/>
      </c>
      <c r="AF14" s="31">
        <f>AE14*(1-Assumptions!$B$19)+AF13</f>
        <v/>
      </c>
      <c r="AG14" s="31">
        <f>AF14*(1-Assumptions!$B$19)+AG13</f>
        <v/>
      </c>
      <c r="AH14" s="31">
        <f>AG14*(1-Assumptions!$B$19)+AH13</f>
        <v/>
      </c>
      <c r="AI14" s="31">
        <f>AH14*(1-Assumptions!$B$19)+AI13</f>
        <v/>
      </c>
      <c r="AJ14" s="31">
        <f>AI14*(1-Assumptions!$B$19)+AJ13</f>
        <v/>
      </c>
      <c r="AK14" s="31">
        <f>AJ14*(1-Assumptions!$B$19)+AK13</f>
        <v/>
      </c>
      <c r="AL14" s="31">
        <f>AK14*(1-Assumptions!$B$19)+AL13</f>
        <v/>
      </c>
    </row>
    <row r="15">
      <c r="A15" t="inlineStr">
        <is>
          <t>[B] Pro MRR</t>
        </is>
      </c>
      <c r="C15" s="32">
        <f>C14*Assumptions!$B$18</f>
        <v/>
      </c>
      <c r="D15" s="32">
        <f>D14*Assumptions!$B$18</f>
        <v/>
      </c>
      <c r="E15" s="32">
        <f>E14*Assumptions!$B$18</f>
        <v/>
      </c>
      <c r="F15" s="32">
        <f>F14*Assumptions!$B$18</f>
        <v/>
      </c>
      <c r="G15" s="32">
        <f>G14*Assumptions!$B$18</f>
        <v/>
      </c>
      <c r="H15" s="32">
        <f>H14*Assumptions!$B$18</f>
        <v/>
      </c>
      <c r="I15" s="32">
        <f>I14*Assumptions!$B$18</f>
        <v/>
      </c>
      <c r="J15" s="32">
        <f>J14*Assumptions!$B$18</f>
        <v/>
      </c>
      <c r="K15" s="32">
        <f>K14*Assumptions!$B$18</f>
        <v/>
      </c>
      <c r="L15" s="32">
        <f>L14*Assumptions!$B$18</f>
        <v/>
      </c>
      <c r="M15" s="32">
        <f>M14*Assumptions!$B$18</f>
        <v/>
      </c>
      <c r="N15" s="32">
        <f>N14*Assumptions!$B$18</f>
        <v/>
      </c>
      <c r="O15" s="32">
        <f>O14*Assumptions!$B$18</f>
        <v/>
      </c>
      <c r="P15" s="32">
        <f>P14*Assumptions!$B$18</f>
        <v/>
      </c>
      <c r="Q15" s="32">
        <f>Q14*Assumptions!$B$18</f>
        <v/>
      </c>
      <c r="R15" s="32">
        <f>R14*Assumptions!$B$18</f>
        <v/>
      </c>
      <c r="S15" s="32">
        <f>S14*Assumptions!$B$18</f>
        <v/>
      </c>
      <c r="T15" s="32">
        <f>T14*Assumptions!$B$18</f>
        <v/>
      </c>
      <c r="U15" s="32">
        <f>U14*Assumptions!$B$18</f>
        <v/>
      </c>
      <c r="V15" s="32">
        <f>V14*Assumptions!$B$18</f>
        <v/>
      </c>
      <c r="W15" s="32">
        <f>W14*Assumptions!$B$18</f>
        <v/>
      </c>
      <c r="X15" s="32">
        <f>X14*Assumptions!$B$18</f>
        <v/>
      </c>
      <c r="Y15" s="32">
        <f>Y14*Assumptions!$B$18</f>
        <v/>
      </c>
      <c r="Z15" s="32">
        <f>Z14*Assumptions!$B$18</f>
        <v/>
      </c>
      <c r="AA15" s="32">
        <f>AA14*Assumptions!$B$18</f>
        <v/>
      </c>
      <c r="AB15" s="32">
        <f>AB14*Assumptions!$B$18</f>
        <v/>
      </c>
      <c r="AC15" s="32">
        <f>AC14*Assumptions!$B$18</f>
        <v/>
      </c>
      <c r="AD15" s="32">
        <f>AD14*Assumptions!$B$18</f>
        <v/>
      </c>
      <c r="AE15" s="32">
        <f>AE14*Assumptions!$B$18</f>
        <v/>
      </c>
      <c r="AF15" s="32">
        <f>AF14*Assumptions!$B$18</f>
        <v/>
      </c>
      <c r="AG15" s="32">
        <f>AG14*Assumptions!$B$18</f>
        <v/>
      </c>
      <c r="AH15" s="32">
        <f>AH14*Assumptions!$B$18</f>
        <v/>
      </c>
      <c r="AI15" s="32">
        <f>AI14*Assumptions!$B$18</f>
        <v/>
      </c>
      <c r="AJ15" s="32">
        <f>AJ14*Assumptions!$B$18</f>
        <v/>
      </c>
      <c r="AK15" s="32">
        <f>AK14*Assumptions!$B$18</f>
        <v/>
      </c>
      <c r="AL15" s="32">
        <f>AL14*Assumptions!$B$18</f>
        <v/>
      </c>
    </row>
    <row r="17">
      <c r="A17" t="inlineStr">
        <is>
          <t>[C] Cloud MRR</t>
        </is>
      </c>
      <c r="C17" s="32">
        <f>IF(C2&gt;=Assumptions!$B$21,C14*Assumptions!$B$22*Assumptions!$B$23,0)</f>
        <v/>
      </c>
      <c r="D17" s="32">
        <f>IF(D2&gt;=Assumptions!$B$21,D14*Assumptions!$B$22*Assumptions!$B$23,0)</f>
        <v/>
      </c>
      <c r="E17" s="32">
        <f>IF(E2&gt;=Assumptions!$B$21,E14*Assumptions!$B$22*Assumptions!$B$23,0)</f>
        <v/>
      </c>
      <c r="F17" s="32">
        <f>IF(F2&gt;=Assumptions!$B$21,F14*Assumptions!$B$22*Assumptions!$B$23,0)</f>
        <v/>
      </c>
      <c r="G17" s="32">
        <f>IF(G2&gt;=Assumptions!$B$21,G14*Assumptions!$B$22*Assumptions!$B$23,0)</f>
        <v/>
      </c>
      <c r="H17" s="32">
        <f>IF(H2&gt;=Assumptions!$B$21,H14*Assumptions!$B$22*Assumptions!$B$23,0)</f>
        <v/>
      </c>
      <c r="I17" s="32">
        <f>IF(I2&gt;=Assumptions!$B$21,I14*Assumptions!$B$22*Assumptions!$B$23,0)</f>
        <v/>
      </c>
      <c r="J17" s="32">
        <f>IF(J2&gt;=Assumptions!$B$21,J14*Assumptions!$B$22*Assumptions!$B$23,0)</f>
        <v/>
      </c>
      <c r="K17" s="32">
        <f>IF(K2&gt;=Assumptions!$B$21,K14*Assumptions!$B$22*Assumptions!$B$23,0)</f>
        <v/>
      </c>
      <c r="L17" s="32">
        <f>IF(L2&gt;=Assumptions!$B$21,L14*Assumptions!$B$22*Assumptions!$B$23,0)</f>
        <v/>
      </c>
      <c r="M17" s="32">
        <f>IF(M2&gt;=Assumptions!$B$21,M14*Assumptions!$B$22*Assumptions!$B$23,0)</f>
        <v/>
      </c>
      <c r="N17" s="32">
        <f>IF(N2&gt;=Assumptions!$B$21,N14*Assumptions!$B$22*Assumptions!$B$23,0)</f>
        <v/>
      </c>
      <c r="O17" s="32">
        <f>IF(O2&gt;=Assumptions!$B$21,O14*Assumptions!$B$22*Assumptions!$B$23,0)</f>
        <v/>
      </c>
      <c r="P17" s="32">
        <f>IF(P2&gt;=Assumptions!$B$21,P14*Assumptions!$B$22*Assumptions!$B$23,0)</f>
        <v/>
      </c>
      <c r="Q17" s="32">
        <f>IF(Q2&gt;=Assumptions!$B$21,Q14*Assumptions!$B$22*Assumptions!$B$23,0)</f>
        <v/>
      </c>
      <c r="R17" s="32">
        <f>IF(R2&gt;=Assumptions!$B$21,R14*Assumptions!$B$22*Assumptions!$B$23,0)</f>
        <v/>
      </c>
      <c r="S17" s="32">
        <f>IF(S2&gt;=Assumptions!$B$21,S14*Assumptions!$B$22*Assumptions!$B$23,0)</f>
        <v/>
      </c>
      <c r="T17" s="32">
        <f>IF(T2&gt;=Assumptions!$B$21,T14*Assumptions!$B$22*Assumptions!$B$23,0)</f>
        <v/>
      </c>
      <c r="U17" s="32">
        <f>IF(U2&gt;=Assumptions!$B$21,U14*Assumptions!$B$22*Assumptions!$B$23,0)</f>
        <v/>
      </c>
      <c r="V17" s="32">
        <f>IF(V2&gt;=Assumptions!$B$21,V14*Assumptions!$B$22*Assumptions!$B$23,0)</f>
        <v/>
      </c>
      <c r="W17" s="32">
        <f>IF(W2&gt;=Assumptions!$B$21,W14*Assumptions!$B$22*Assumptions!$B$23,0)</f>
        <v/>
      </c>
      <c r="X17" s="32">
        <f>IF(X2&gt;=Assumptions!$B$21,X14*Assumptions!$B$22*Assumptions!$B$23,0)</f>
        <v/>
      </c>
      <c r="Y17" s="32">
        <f>IF(Y2&gt;=Assumptions!$B$21,Y14*Assumptions!$B$22*Assumptions!$B$23,0)</f>
        <v/>
      </c>
      <c r="Z17" s="32">
        <f>IF(Z2&gt;=Assumptions!$B$21,Z14*Assumptions!$B$22*Assumptions!$B$23,0)</f>
        <v/>
      </c>
      <c r="AA17" s="32">
        <f>IF(AA2&gt;=Assumptions!$B$21,AA14*Assumptions!$B$22*Assumptions!$B$23,0)</f>
        <v/>
      </c>
      <c r="AB17" s="32">
        <f>IF(AB2&gt;=Assumptions!$B$21,AB14*Assumptions!$B$22*Assumptions!$B$23,0)</f>
        <v/>
      </c>
      <c r="AC17" s="32">
        <f>IF(AC2&gt;=Assumptions!$B$21,AC14*Assumptions!$B$22*Assumptions!$B$23,0)</f>
        <v/>
      </c>
      <c r="AD17" s="32">
        <f>IF(AD2&gt;=Assumptions!$B$21,AD14*Assumptions!$B$22*Assumptions!$B$23,0)</f>
        <v/>
      </c>
      <c r="AE17" s="32">
        <f>IF(AE2&gt;=Assumptions!$B$21,AE14*Assumptions!$B$22*Assumptions!$B$23,0)</f>
        <v/>
      </c>
      <c r="AF17" s="32">
        <f>IF(AF2&gt;=Assumptions!$B$21,AF14*Assumptions!$B$22*Assumptions!$B$23,0)</f>
        <v/>
      </c>
      <c r="AG17" s="32">
        <f>IF(AG2&gt;=Assumptions!$B$21,AG14*Assumptions!$B$22*Assumptions!$B$23,0)</f>
        <v/>
      </c>
      <c r="AH17" s="32">
        <f>IF(AH2&gt;=Assumptions!$B$21,AH14*Assumptions!$B$22*Assumptions!$B$23,0)</f>
        <v/>
      </c>
      <c r="AI17" s="32">
        <f>IF(AI2&gt;=Assumptions!$B$21,AI14*Assumptions!$B$22*Assumptions!$B$23,0)</f>
        <v/>
      </c>
      <c r="AJ17" s="32">
        <f>IF(AJ2&gt;=Assumptions!$B$21,AJ14*Assumptions!$B$22*Assumptions!$B$23,0)</f>
        <v/>
      </c>
      <c r="AK17" s="32">
        <f>IF(AK2&gt;=Assumptions!$B$21,AK14*Assumptions!$B$22*Assumptions!$B$23,0)</f>
        <v/>
      </c>
      <c r="AL17" s="32">
        <f>IF(AL2&gt;=Assumptions!$B$21,AL14*Assumptions!$B$22*Assumptions!$B$23,0)</f>
        <v/>
      </c>
    </row>
    <row r="19">
      <c r="A19" t="inlineStr">
        <is>
          <t>[E] New community members</t>
        </is>
      </c>
      <c r="C19" s="31">
        <f>C6*Assumptions!$B$25</f>
        <v/>
      </c>
      <c r="D19" s="31">
        <f>D6*Assumptions!$B$25</f>
        <v/>
      </c>
      <c r="E19" s="31">
        <f>E6*Assumptions!$B$25</f>
        <v/>
      </c>
      <c r="F19" s="31">
        <f>F6*Assumptions!$B$25</f>
        <v/>
      </c>
      <c r="G19" s="31">
        <f>G6*Assumptions!$B$25</f>
        <v/>
      </c>
      <c r="H19" s="31">
        <f>H6*Assumptions!$B$25</f>
        <v/>
      </c>
      <c r="I19" s="31">
        <f>I6*Assumptions!$B$25</f>
        <v/>
      </c>
      <c r="J19" s="31">
        <f>J6*Assumptions!$B$25</f>
        <v/>
      </c>
      <c r="K19" s="31">
        <f>K6*Assumptions!$B$25</f>
        <v/>
      </c>
      <c r="L19" s="31">
        <f>L6*Assumptions!$B$25</f>
        <v/>
      </c>
      <c r="M19" s="31">
        <f>M6*Assumptions!$B$25</f>
        <v/>
      </c>
      <c r="N19" s="31">
        <f>N6*Assumptions!$B$25</f>
        <v/>
      </c>
      <c r="O19" s="31">
        <f>O6*Assumptions!$B$25</f>
        <v/>
      </c>
      <c r="P19" s="31">
        <f>P6*Assumptions!$B$25</f>
        <v/>
      </c>
      <c r="Q19" s="31">
        <f>Q6*Assumptions!$B$25</f>
        <v/>
      </c>
      <c r="R19" s="31">
        <f>R6*Assumptions!$B$25</f>
        <v/>
      </c>
      <c r="S19" s="31">
        <f>S6*Assumptions!$B$25</f>
        <v/>
      </c>
      <c r="T19" s="31">
        <f>T6*Assumptions!$B$25</f>
        <v/>
      </c>
      <c r="U19" s="31">
        <f>U6*Assumptions!$B$25</f>
        <v/>
      </c>
      <c r="V19" s="31">
        <f>V6*Assumptions!$B$25</f>
        <v/>
      </c>
      <c r="W19" s="31">
        <f>W6*Assumptions!$B$25</f>
        <v/>
      </c>
      <c r="X19" s="31">
        <f>X6*Assumptions!$B$25</f>
        <v/>
      </c>
      <c r="Y19" s="31">
        <f>Y6*Assumptions!$B$25</f>
        <v/>
      </c>
      <c r="Z19" s="31">
        <f>Z6*Assumptions!$B$25</f>
        <v/>
      </c>
      <c r="AA19" s="31">
        <f>AA6*Assumptions!$B$25</f>
        <v/>
      </c>
      <c r="AB19" s="31">
        <f>AB6*Assumptions!$B$25</f>
        <v/>
      </c>
      <c r="AC19" s="31">
        <f>AC6*Assumptions!$B$25</f>
        <v/>
      </c>
      <c r="AD19" s="31">
        <f>AD6*Assumptions!$B$25</f>
        <v/>
      </c>
      <c r="AE19" s="31">
        <f>AE6*Assumptions!$B$25</f>
        <v/>
      </c>
      <c r="AF19" s="31">
        <f>AF6*Assumptions!$B$25</f>
        <v/>
      </c>
      <c r="AG19" s="31">
        <f>AG6*Assumptions!$B$25</f>
        <v/>
      </c>
      <c r="AH19" s="31">
        <f>AH6*Assumptions!$B$25</f>
        <v/>
      </c>
      <c r="AI19" s="31">
        <f>AI6*Assumptions!$B$25</f>
        <v/>
      </c>
      <c r="AJ19" s="31">
        <f>AJ6*Assumptions!$B$25</f>
        <v/>
      </c>
      <c r="AK19" s="31">
        <f>AK6*Assumptions!$B$25</f>
        <v/>
      </c>
      <c r="AL19" s="31">
        <f>AL6*Assumptions!$B$25</f>
        <v/>
      </c>
    </row>
    <row r="20">
      <c r="A20" t="inlineStr">
        <is>
          <t>[E] Active community</t>
        </is>
      </c>
      <c r="C20" s="31">
        <f>C19</f>
        <v/>
      </c>
      <c r="D20" s="31">
        <f>C20*(1-Assumptions!$B$27)+D19</f>
        <v/>
      </c>
      <c r="E20" s="31">
        <f>D20*(1-Assumptions!$B$27)+E19</f>
        <v/>
      </c>
      <c r="F20" s="31">
        <f>E20*(1-Assumptions!$B$27)+F19</f>
        <v/>
      </c>
      <c r="G20" s="31">
        <f>F20*(1-Assumptions!$B$27)+G19</f>
        <v/>
      </c>
      <c r="H20" s="31">
        <f>G20*(1-Assumptions!$B$27)+H19</f>
        <v/>
      </c>
      <c r="I20" s="31">
        <f>H20*(1-Assumptions!$B$27)+I19</f>
        <v/>
      </c>
      <c r="J20" s="31">
        <f>I20*(1-Assumptions!$B$27)+J19</f>
        <v/>
      </c>
      <c r="K20" s="31">
        <f>J20*(1-Assumptions!$B$27)+K19</f>
        <v/>
      </c>
      <c r="L20" s="31">
        <f>K20*(1-Assumptions!$B$27)+L19</f>
        <v/>
      </c>
      <c r="M20" s="31">
        <f>L20*(1-Assumptions!$B$27)+M19</f>
        <v/>
      </c>
      <c r="N20" s="31">
        <f>M20*(1-Assumptions!$B$27)+N19</f>
        <v/>
      </c>
      <c r="O20" s="31">
        <f>N20*(1-Assumptions!$B$27)+O19</f>
        <v/>
      </c>
      <c r="P20" s="31">
        <f>O20*(1-Assumptions!$B$27)+P19</f>
        <v/>
      </c>
      <c r="Q20" s="31">
        <f>P20*(1-Assumptions!$B$27)+Q19</f>
        <v/>
      </c>
      <c r="R20" s="31">
        <f>Q20*(1-Assumptions!$B$27)+R19</f>
        <v/>
      </c>
      <c r="S20" s="31">
        <f>R20*(1-Assumptions!$B$27)+S19</f>
        <v/>
      </c>
      <c r="T20" s="31">
        <f>S20*(1-Assumptions!$B$27)+T19</f>
        <v/>
      </c>
      <c r="U20" s="31">
        <f>T20*(1-Assumptions!$B$27)+U19</f>
        <v/>
      </c>
      <c r="V20" s="31">
        <f>U20*(1-Assumptions!$B$27)+V19</f>
        <v/>
      </c>
      <c r="W20" s="31">
        <f>V20*(1-Assumptions!$B$27)+W19</f>
        <v/>
      </c>
      <c r="X20" s="31">
        <f>W20*(1-Assumptions!$B$27)+X19</f>
        <v/>
      </c>
      <c r="Y20" s="31">
        <f>X20*(1-Assumptions!$B$27)+Y19</f>
        <v/>
      </c>
      <c r="Z20" s="31">
        <f>Y20*(1-Assumptions!$B$27)+Z19</f>
        <v/>
      </c>
      <c r="AA20" s="31">
        <f>Z20*(1-Assumptions!$B$27)+AA19</f>
        <v/>
      </c>
      <c r="AB20" s="31">
        <f>AA20*(1-Assumptions!$B$27)+AB19</f>
        <v/>
      </c>
      <c r="AC20" s="31">
        <f>AB20*(1-Assumptions!$B$27)+AC19</f>
        <v/>
      </c>
      <c r="AD20" s="31">
        <f>AC20*(1-Assumptions!$B$27)+AD19</f>
        <v/>
      </c>
      <c r="AE20" s="31">
        <f>AD20*(1-Assumptions!$B$27)+AE19</f>
        <v/>
      </c>
      <c r="AF20" s="31">
        <f>AE20*(1-Assumptions!$B$27)+AF19</f>
        <v/>
      </c>
      <c r="AG20" s="31">
        <f>AF20*(1-Assumptions!$B$27)+AG19</f>
        <v/>
      </c>
      <c r="AH20" s="31">
        <f>AG20*(1-Assumptions!$B$27)+AH19</f>
        <v/>
      </c>
      <c r="AI20" s="31">
        <f>AH20*(1-Assumptions!$B$27)+AI19</f>
        <v/>
      </c>
      <c r="AJ20" s="31">
        <f>AI20*(1-Assumptions!$B$27)+AJ19</f>
        <v/>
      </c>
      <c r="AK20" s="31">
        <f>AJ20*(1-Assumptions!$B$27)+AK19</f>
        <v/>
      </c>
      <c r="AL20" s="31">
        <f>AK20*(1-Assumptions!$B$27)+AL19</f>
        <v/>
      </c>
    </row>
    <row r="21">
      <c r="A21" t="inlineStr">
        <is>
          <t>[E] Community MRR</t>
        </is>
      </c>
      <c r="C21" s="32">
        <f>C20*Assumptions!$B$26</f>
        <v/>
      </c>
      <c r="D21" s="32">
        <f>D20*Assumptions!$B$26</f>
        <v/>
      </c>
      <c r="E21" s="32">
        <f>E20*Assumptions!$B$26</f>
        <v/>
      </c>
      <c r="F21" s="32">
        <f>F20*Assumptions!$B$26</f>
        <v/>
      </c>
      <c r="G21" s="32">
        <f>G20*Assumptions!$B$26</f>
        <v/>
      </c>
      <c r="H21" s="32">
        <f>H20*Assumptions!$B$26</f>
        <v/>
      </c>
      <c r="I21" s="32">
        <f>I20*Assumptions!$B$26</f>
        <v/>
      </c>
      <c r="J21" s="32">
        <f>J20*Assumptions!$B$26</f>
        <v/>
      </c>
      <c r="K21" s="32">
        <f>K20*Assumptions!$B$26</f>
        <v/>
      </c>
      <c r="L21" s="32">
        <f>L20*Assumptions!$B$26</f>
        <v/>
      </c>
      <c r="M21" s="32">
        <f>M20*Assumptions!$B$26</f>
        <v/>
      </c>
      <c r="N21" s="32">
        <f>N20*Assumptions!$B$26</f>
        <v/>
      </c>
      <c r="O21" s="32">
        <f>O20*Assumptions!$B$26</f>
        <v/>
      </c>
      <c r="P21" s="32">
        <f>P20*Assumptions!$B$26</f>
        <v/>
      </c>
      <c r="Q21" s="32">
        <f>Q20*Assumptions!$B$26</f>
        <v/>
      </c>
      <c r="R21" s="32">
        <f>R20*Assumptions!$B$26</f>
        <v/>
      </c>
      <c r="S21" s="32">
        <f>S20*Assumptions!$B$26</f>
        <v/>
      </c>
      <c r="T21" s="32">
        <f>T20*Assumptions!$B$26</f>
        <v/>
      </c>
      <c r="U21" s="32">
        <f>U20*Assumptions!$B$26</f>
        <v/>
      </c>
      <c r="V21" s="32">
        <f>V20*Assumptions!$B$26</f>
        <v/>
      </c>
      <c r="W21" s="32">
        <f>W20*Assumptions!$B$26</f>
        <v/>
      </c>
      <c r="X21" s="32">
        <f>X20*Assumptions!$B$26</f>
        <v/>
      </c>
      <c r="Y21" s="32">
        <f>Y20*Assumptions!$B$26</f>
        <v/>
      </c>
      <c r="Z21" s="32">
        <f>Z20*Assumptions!$B$26</f>
        <v/>
      </c>
      <c r="AA21" s="32">
        <f>AA20*Assumptions!$B$26</f>
        <v/>
      </c>
      <c r="AB21" s="32">
        <f>AB20*Assumptions!$B$26</f>
        <v/>
      </c>
      <c r="AC21" s="32">
        <f>AC20*Assumptions!$B$26</f>
        <v/>
      </c>
      <c r="AD21" s="32">
        <f>AD20*Assumptions!$B$26</f>
        <v/>
      </c>
      <c r="AE21" s="32">
        <f>AE20*Assumptions!$B$26</f>
        <v/>
      </c>
      <c r="AF21" s="32">
        <f>AF20*Assumptions!$B$26</f>
        <v/>
      </c>
      <c r="AG21" s="32">
        <f>AG20*Assumptions!$B$26</f>
        <v/>
      </c>
      <c r="AH21" s="32">
        <f>AH20*Assumptions!$B$26</f>
        <v/>
      </c>
      <c r="AI21" s="32">
        <f>AI20*Assumptions!$B$26</f>
        <v/>
      </c>
      <c r="AJ21" s="32">
        <f>AJ20*Assumptions!$B$26</f>
        <v/>
      </c>
      <c r="AK21" s="32">
        <f>AK20*Assumptions!$B$26</f>
        <v/>
      </c>
      <c r="AL21" s="32">
        <f>AL20*Assumptions!$B$26</f>
        <v/>
      </c>
    </row>
    <row r="22">
      <c r="A22" t="inlineStr">
        <is>
          <t>[E] Course revenue</t>
        </is>
      </c>
      <c r="C22" s="32">
        <f>C6*Assumptions!$B$28*Assumptions!$B$29</f>
        <v/>
      </c>
      <c r="D22" s="32">
        <f>D6*Assumptions!$B$28*Assumptions!$B$29</f>
        <v/>
      </c>
      <c r="E22" s="32">
        <f>E6*Assumptions!$B$28*Assumptions!$B$29</f>
        <v/>
      </c>
      <c r="F22" s="32">
        <f>F6*Assumptions!$B$28*Assumptions!$B$29</f>
        <v/>
      </c>
      <c r="G22" s="32">
        <f>G6*Assumptions!$B$28*Assumptions!$B$29</f>
        <v/>
      </c>
      <c r="H22" s="32">
        <f>H6*Assumptions!$B$28*Assumptions!$B$29</f>
        <v/>
      </c>
      <c r="I22" s="32">
        <f>I6*Assumptions!$B$28*Assumptions!$B$29</f>
        <v/>
      </c>
      <c r="J22" s="32">
        <f>J6*Assumptions!$B$28*Assumptions!$B$29</f>
        <v/>
      </c>
      <c r="K22" s="32">
        <f>K6*Assumptions!$B$28*Assumptions!$B$29</f>
        <v/>
      </c>
      <c r="L22" s="32">
        <f>L6*Assumptions!$B$28*Assumptions!$B$29</f>
        <v/>
      </c>
      <c r="M22" s="32">
        <f>M6*Assumptions!$B$28*Assumptions!$B$29</f>
        <v/>
      </c>
      <c r="N22" s="32">
        <f>N6*Assumptions!$B$28*Assumptions!$B$29</f>
        <v/>
      </c>
      <c r="O22" s="32">
        <f>O6*Assumptions!$B$28*Assumptions!$B$29</f>
        <v/>
      </c>
      <c r="P22" s="32">
        <f>P6*Assumptions!$B$28*Assumptions!$B$29</f>
        <v/>
      </c>
      <c r="Q22" s="32">
        <f>Q6*Assumptions!$B$28*Assumptions!$B$29</f>
        <v/>
      </c>
      <c r="R22" s="32">
        <f>R6*Assumptions!$B$28*Assumptions!$B$29</f>
        <v/>
      </c>
      <c r="S22" s="32">
        <f>S6*Assumptions!$B$28*Assumptions!$B$29</f>
        <v/>
      </c>
      <c r="T22" s="32">
        <f>T6*Assumptions!$B$28*Assumptions!$B$29</f>
        <v/>
      </c>
      <c r="U22" s="32">
        <f>U6*Assumptions!$B$28*Assumptions!$B$29</f>
        <v/>
      </c>
      <c r="V22" s="32">
        <f>V6*Assumptions!$B$28*Assumptions!$B$29</f>
        <v/>
      </c>
      <c r="W22" s="32">
        <f>W6*Assumptions!$B$28*Assumptions!$B$29</f>
        <v/>
      </c>
      <c r="X22" s="32">
        <f>X6*Assumptions!$B$28*Assumptions!$B$29</f>
        <v/>
      </c>
      <c r="Y22" s="32">
        <f>Y6*Assumptions!$B$28*Assumptions!$B$29</f>
        <v/>
      </c>
      <c r="Z22" s="32">
        <f>Z6*Assumptions!$B$28*Assumptions!$B$29</f>
        <v/>
      </c>
      <c r="AA22" s="32">
        <f>AA6*Assumptions!$B$28*Assumptions!$B$29</f>
        <v/>
      </c>
      <c r="AB22" s="32">
        <f>AB6*Assumptions!$B$28*Assumptions!$B$29</f>
        <v/>
      </c>
      <c r="AC22" s="32">
        <f>AC6*Assumptions!$B$28*Assumptions!$B$29</f>
        <v/>
      </c>
      <c r="AD22" s="32">
        <f>AD6*Assumptions!$B$28*Assumptions!$B$29</f>
        <v/>
      </c>
      <c r="AE22" s="32">
        <f>AE6*Assumptions!$B$28*Assumptions!$B$29</f>
        <v/>
      </c>
      <c r="AF22" s="32">
        <f>AF6*Assumptions!$B$28*Assumptions!$B$29</f>
        <v/>
      </c>
      <c r="AG22" s="32">
        <f>AG6*Assumptions!$B$28*Assumptions!$B$29</f>
        <v/>
      </c>
      <c r="AH22" s="32">
        <f>AH6*Assumptions!$B$28*Assumptions!$B$29</f>
        <v/>
      </c>
      <c r="AI22" s="32">
        <f>AI6*Assumptions!$B$28*Assumptions!$B$29</f>
        <v/>
      </c>
      <c r="AJ22" s="32">
        <f>AJ6*Assumptions!$B$28*Assumptions!$B$29</f>
        <v/>
      </c>
      <c r="AK22" s="32">
        <f>AK6*Assumptions!$B$28*Assumptions!$B$29</f>
        <v/>
      </c>
      <c r="AL22" s="32">
        <f>AL6*Assumptions!$B$28*Assumptions!$B$29</f>
        <v/>
      </c>
    </row>
    <row r="24">
      <c r="A24" t="inlineStr">
        <is>
          <t>[D] Discovery calls</t>
        </is>
      </c>
      <c r="C24" s="31">
        <f>C7*Assumptions!$B$31</f>
        <v/>
      </c>
      <c r="D24" s="31">
        <f>D7*Assumptions!$B$31</f>
        <v/>
      </c>
      <c r="E24" s="31">
        <f>E7*Assumptions!$B$31</f>
        <v/>
      </c>
      <c r="F24" s="31">
        <f>F7*Assumptions!$B$31</f>
        <v/>
      </c>
      <c r="G24" s="31">
        <f>G7*Assumptions!$B$31</f>
        <v/>
      </c>
      <c r="H24" s="31">
        <f>H7*Assumptions!$B$31</f>
        <v/>
      </c>
      <c r="I24" s="31">
        <f>I7*Assumptions!$B$31</f>
        <v/>
      </c>
      <c r="J24" s="31">
        <f>J7*Assumptions!$B$31</f>
        <v/>
      </c>
      <c r="K24" s="31">
        <f>K7*Assumptions!$B$31</f>
        <v/>
      </c>
      <c r="L24" s="31">
        <f>L7*Assumptions!$B$31</f>
        <v/>
      </c>
      <c r="M24" s="31">
        <f>M7*Assumptions!$B$31</f>
        <v/>
      </c>
      <c r="N24" s="31">
        <f>N7*Assumptions!$B$31</f>
        <v/>
      </c>
      <c r="O24" s="31">
        <f>O7*Assumptions!$B$31</f>
        <v/>
      </c>
      <c r="P24" s="31">
        <f>P7*Assumptions!$B$31</f>
        <v/>
      </c>
      <c r="Q24" s="31">
        <f>Q7*Assumptions!$B$31</f>
        <v/>
      </c>
      <c r="R24" s="31">
        <f>R7*Assumptions!$B$31</f>
        <v/>
      </c>
      <c r="S24" s="31">
        <f>S7*Assumptions!$B$31</f>
        <v/>
      </c>
      <c r="T24" s="31">
        <f>T7*Assumptions!$B$31</f>
        <v/>
      </c>
      <c r="U24" s="31">
        <f>U7*Assumptions!$B$31</f>
        <v/>
      </c>
      <c r="V24" s="31">
        <f>V7*Assumptions!$B$31</f>
        <v/>
      </c>
      <c r="W24" s="31">
        <f>W7*Assumptions!$B$31</f>
        <v/>
      </c>
      <c r="X24" s="31">
        <f>X7*Assumptions!$B$31</f>
        <v/>
      </c>
      <c r="Y24" s="31">
        <f>Y7*Assumptions!$B$31</f>
        <v/>
      </c>
      <c r="Z24" s="31">
        <f>Z7*Assumptions!$B$31</f>
        <v/>
      </c>
      <c r="AA24" s="31">
        <f>AA7*Assumptions!$B$31</f>
        <v/>
      </c>
      <c r="AB24" s="31">
        <f>AB7*Assumptions!$B$31</f>
        <v/>
      </c>
      <c r="AC24" s="31">
        <f>AC7*Assumptions!$B$31</f>
        <v/>
      </c>
      <c r="AD24" s="31">
        <f>AD7*Assumptions!$B$31</f>
        <v/>
      </c>
      <c r="AE24" s="31">
        <f>AE7*Assumptions!$B$31</f>
        <v/>
      </c>
      <c r="AF24" s="31">
        <f>AF7*Assumptions!$B$31</f>
        <v/>
      </c>
      <c r="AG24" s="31">
        <f>AG7*Assumptions!$B$31</f>
        <v/>
      </c>
      <c r="AH24" s="31">
        <f>AH7*Assumptions!$B$31</f>
        <v/>
      </c>
      <c r="AI24" s="31">
        <f>AI7*Assumptions!$B$31</f>
        <v/>
      </c>
      <c r="AJ24" s="31">
        <f>AJ7*Assumptions!$B$31</f>
        <v/>
      </c>
      <c r="AK24" s="31">
        <f>AK7*Assumptions!$B$31</f>
        <v/>
      </c>
      <c r="AL24" s="31">
        <f>AL7*Assumptions!$B$31</f>
        <v/>
      </c>
    </row>
    <row r="25">
      <c r="A25" t="inlineStr">
        <is>
          <t>[D] New projects</t>
        </is>
      </c>
      <c r="C25" s="31">
        <f>C24*Assumptions!$B$32</f>
        <v/>
      </c>
      <c r="D25" s="31">
        <f>D24*Assumptions!$B$32</f>
        <v/>
      </c>
      <c r="E25" s="31">
        <f>E24*Assumptions!$B$32</f>
        <v/>
      </c>
      <c r="F25" s="31">
        <f>F24*Assumptions!$B$32</f>
        <v/>
      </c>
      <c r="G25" s="31">
        <f>G24*Assumptions!$B$32</f>
        <v/>
      </c>
      <c r="H25" s="31">
        <f>H24*Assumptions!$B$32</f>
        <v/>
      </c>
      <c r="I25" s="31">
        <f>I24*Assumptions!$B$32</f>
        <v/>
      </c>
      <c r="J25" s="31">
        <f>J24*Assumptions!$B$32</f>
        <v/>
      </c>
      <c r="K25" s="31">
        <f>K24*Assumptions!$B$32</f>
        <v/>
      </c>
      <c r="L25" s="31">
        <f>L24*Assumptions!$B$32</f>
        <v/>
      </c>
      <c r="M25" s="31">
        <f>M24*Assumptions!$B$32</f>
        <v/>
      </c>
      <c r="N25" s="31">
        <f>N24*Assumptions!$B$32</f>
        <v/>
      </c>
      <c r="O25" s="31">
        <f>O24*Assumptions!$B$32</f>
        <v/>
      </c>
      <c r="P25" s="31">
        <f>P24*Assumptions!$B$32</f>
        <v/>
      </c>
      <c r="Q25" s="31">
        <f>Q24*Assumptions!$B$32</f>
        <v/>
      </c>
      <c r="R25" s="31">
        <f>R24*Assumptions!$B$32</f>
        <v/>
      </c>
      <c r="S25" s="31">
        <f>S24*Assumptions!$B$32</f>
        <v/>
      </c>
      <c r="T25" s="31">
        <f>T24*Assumptions!$B$32</f>
        <v/>
      </c>
      <c r="U25" s="31">
        <f>U24*Assumptions!$B$32</f>
        <v/>
      </c>
      <c r="V25" s="31">
        <f>V24*Assumptions!$B$32</f>
        <v/>
      </c>
      <c r="W25" s="31">
        <f>W24*Assumptions!$B$32</f>
        <v/>
      </c>
      <c r="X25" s="31">
        <f>X24*Assumptions!$B$32</f>
        <v/>
      </c>
      <c r="Y25" s="31">
        <f>Y24*Assumptions!$B$32</f>
        <v/>
      </c>
      <c r="Z25" s="31">
        <f>Z24*Assumptions!$B$32</f>
        <v/>
      </c>
      <c r="AA25" s="31">
        <f>AA24*Assumptions!$B$32</f>
        <v/>
      </c>
      <c r="AB25" s="31">
        <f>AB24*Assumptions!$B$32</f>
        <v/>
      </c>
      <c r="AC25" s="31">
        <f>AC24*Assumptions!$B$32</f>
        <v/>
      </c>
      <c r="AD25" s="31">
        <f>AD24*Assumptions!$B$32</f>
        <v/>
      </c>
      <c r="AE25" s="31">
        <f>AE24*Assumptions!$B$32</f>
        <v/>
      </c>
      <c r="AF25" s="31">
        <f>AF24*Assumptions!$B$32</f>
        <v/>
      </c>
      <c r="AG25" s="31">
        <f>AG24*Assumptions!$B$32</f>
        <v/>
      </c>
      <c r="AH25" s="31">
        <f>AH24*Assumptions!$B$32</f>
        <v/>
      </c>
      <c r="AI25" s="31">
        <f>AI24*Assumptions!$B$32</f>
        <v/>
      </c>
      <c r="AJ25" s="31">
        <f>AJ24*Assumptions!$B$32</f>
        <v/>
      </c>
      <c r="AK25" s="31">
        <f>AK24*Assumptions!$B$32</f>
        <v/>
      </c>
      <c r="AL25" s="31">
        <f>AL24*Assumptions!$B$32</f>
        <v/>
      </c>
    </row>
    <row r="26">
      <c r="A26" t="inlineStr">
        <is>
          <t>[D] Project revenue</t>
        </is>
      </c>
      <c r="C26" s="32">
        <f>C25*Assumptions!$B$33</f>
        <v/>
      </c>
      <c r="D26" s="32">
        <f>D25*Assumptions!$B$33</f>
        <v/>
      </c>
      <c r="E26" s="32">
        <f>E25*Assumptions!$B$33</f>
        <v/>
      </c>
      <c r="F26" s="32">
        <f>F25*Assumptions!$B$33</f>
        <v/>
      </c>
      <c r="G26" s="32">
        <f>G25*Assumptions!$B$33</f>
        <v/>
      </c>
      <c r="H26" s="32">
        <f>H25*Assumptions!$B$33</f>
        <v/>
      </c>
      <c r="I26" s="32">
        <f>I25*Assumptions!$B$33</f>
        <v/>
      </c>
      <c r="J26" s="32">
        <f>J25*Assumptions!$B$33</f>
        <v/>
      </c>
      <c r="K26" s="32">
        <f>K25*Assumptions!$B$33</f>
        <v/>
      </c>
      <c r="L26" s="32">
        <f>L25*Assumptions!$B$33</f>
        <v/>
      </c>
      <c r="M26" s="32">
        <f>M25*Assumptions!$B$33</f>
        <v/>
      </c>
      <c r="N26" s="32">
        <f>N25*Assumptions!$B$33</f>
        <v/>
      </c>
      <c r="O26" s="32">
        <f>O25*Assumptions!$B$33</f>
        <v/>
      </c>
      <c r="P26" s="32">
        <f>P25*Assumptions!$B$33</f>
        <v/>
      </c>
      <c r="Q26" s="32">
        <f>Q25*Assumptions!$B$33</f>
        <v/>
      </c>
      <c r="R26" s="32">
        <f>R25*Assumptions!$B$33</f>
        <v/>
      </c>
      <c r="S26" s="32">
        <f>S25*Assumptions!$B$33</f>
        <v/>
      </c>
      <c r="T26" s="32">
        <f>T25*Assumptions!$B$33</f>
        <v/>
      </c>
      <c r="U26" s="32">
        <f>U25*Assumptions!$B$33</f>
        <v/>
      </c>
      <c r="V26" s="32">
        <f>V25*Assumptions!$B$33</f>
        <v/>
      </c>
      <c r="W26" s="32">
        <f>W25*Assumptions!$B$33</f>
        <v/>
      </c>
      <c r="X26" s="32">
        <f>X25*Assumptions!$B$33</f>
        <v/>
      </c>
      <c r="Y26" s="32">
        <f>Y25*Assumptions!$B$33</f>
        <v/>
      </c>
      <c r="Z26" s="32">
        <f>Z25*Assumptions!$B$33</f>
        <v/>
      </c>
      <c r="AA26" s="32">
        <f>AA25*Assumptions!$B$33</f>
        <v/>
      </c>
      <c r="AB26" s="32">
        <f>AB25*Assumptions!$B$33</f>
        <v/>
      </c>
      <c r="AC26" s="32">
        <f>AC25*Assumptions!$B$33</f>
        <v/>
      </c>
      <c r="AD26" s="32">
        <f>AD25*Assumptions!$B$33</f>
        <v/>
      </c>
      <c r="AE26" s="32">
        <f>AE25*Assumptions!$B$33</f>
        <v/>
      </c>
      <c r="AF26" s="32">
        <f>AF25*Assumptions!$B$33</f>
        <v/>
      </c>
      <c r="AG26" s="32">
        <f>AG25*Assumptions!$B$33</f>
        <v/>
      </c>
      <c r="AH26" s="32">
        <f>AH25*Assumptions!$B$33</f>
        <v/>
      </c>
      <c r="AI26" s="32">
        <f>AI25*Assumptions!$B$33</f>
        <v/>
      </c>
      <c r="AJ26" s="32">
        <f>AJ25*Assumptions!$B$33</f>
        <v/>
      </c>
      <c r="AK26" s="32">
        <f>AK25*Assumptions!$B$33</f>
        <v/>
      </c>
      <c r="AL26" s="32">
        <f>AL25*Assumptions!$B$33</f>
        <v/>
      </c>
    </row>
    <row r="27">
      <c r="A27" t="inlineStr">
        <is>
          <t>[D] New retainers</t>
        </is>
      </c>
      <c r="C27" s="31">
        <f>C25*Assumptions!$B$34</f>
        <v/>
      </c>
      <c r="D27" s="31">
        <f>D25*Assumptions!$B$34</f>
        <v/>
      </c>
      <c r="E27" s="31">
        <f>E25*Assumptions!$B$34</f>
        <v/>
      </c>
      <c r="F27" s="31">
        <f>F25*Assumptions!$B$34</f>
        <v/>
      </c>
      <c r="G27" s="31">
        <f>G25*Assumptions!$B$34</f>
        <v/>
      </c>
      <c r="H27" s="31">
        <f>H25*Assumptions!$B$34</f>
        <v/>
      </c>
      <c r="I27" s="31">
        <f>I25*Assumptions!$B$34</f>
        <v/>
      </c>
      <c r="J27" s="31">
        <f>J25*Assumptions!$B$34</f>
        <v/>
      </c>
      <c r="K27" s="31">
        <f>K25*Assumptions!$B$34</f>
        <v/>
      </c>
      <c r="L27" s="31">
        <f>L25*Assumptions!$B$34</f>
        <v/>
      </c>
      <c r="M27" s="31">
        <f>M25*Assumptions!$B$34</f>
        <v/>
      </c>
      <c r="N27" s="31">
        <f>N25*Assumptions!$B$34</f>
        <v/>
      </c>
      <c r="O27" s="31">
        <f>O25*Assumptions!$B$34</f>
        <v/>
      </c>
      <c r="P27" s="31">
        <f>P25*Assumptions!$B$34</f>
        <v/>
      </c>
      <c r="Q27" s="31">
        <f>Q25*Assumptions!$B$34</f>
        <v/>
      </c>
      <c r="R27" s="31">
        <f>R25*Assumptions!$B$34</f>
        <v/>
      </c>
      <c r="S27" s="31">
        <f>S25*Assumptions!$B$34</f>
        <v/>
      </c>
      <c r="T27" s="31">
        <f>T25*Assumptions!$B$34</f>
        <v/>
      </c>
      <c r="U27" s="31">
        <f>U25*Assumptions!$B$34</f>
        <v/>
      </c>
      <c r="V27" s="31">
        <f>V25*Assumptions!$B$34</f>
        <v/>
      </c>
      <c r="W27" s="31">
        <f>W25*Assumptions!$B$34</f>
        <v/>
      </c>
      <c r="X27" s="31">
        <f>X25*Assumptions!$B$34</f>
        <v/>
      </c>
      <c r="Y27" s="31">
        <f>Y25*Assumptions!$B$34</f>
        <v/>
      </c>
      <c r="Z27" s="31">
        <f>Z25*Assumptions!$B$34</f>
        <v/>
      </c>
      <c r="AA27" s="31">
        <f>AA25*Assumptions!$B$34</f>
        <v/>
      </c>
      <c r="AB27" s="31">
        <f>AB25*Assumptions!$B$34</f>
        <v/>
      </c>
      <c r="AC27" s="31">
        <f>AC25*Assumptions!$B$34</f>
        <v/>
      </c>
      <c r="AD27" s="31">
        <f>AD25*Assumptions!$B$34</f>
        <v/>
      </c>
      <c r="AE27" s="31">
        <f>AE25*Assumptions!$B$34</f>
        <v/>
      </c>
      <c r="AF27" s="31">
        <f>AF25*Assumptions!$B$34</f>
        <v/>
      </c>
      <c r="AG27" s="31">
        <f>AG25*Assumptions!$B$34</f>
        <v/>
      </c>
      <c r="AH27" s="31">
        <f>AH25*Assumptions!$B$34</f>
        <v/>
      </c>
      <c r="AI27" s="31">
        <f>AI25*Assumptions!$B$34</f>
        <v/>
      </c>
      <c r="AJ27" s="31">
        <f>AJ25*Assumptions!$B$34</f>
        <v/>
      </c>
      <c r="AK27" s="31">
        <f>AK25*Assumptions!$B$34</f>
        <v/>
      </c>
      <c r="AL27" s="31">
        <f>AL25*Assumptions!$B$34</f>
        <v/>
      </c>
    </row>
    <row r="28">
      <c r="A28" t="inlineStr">
        <is>
          <t>[D] Active retainers</t>
        </is>
      </c>
      <c r="C28" s="31">
        <f>C27</f>
        <v/>
      </c>
      <c r="D28" s="31">
        <f>C28*(1-Assumptions!$B$36)+D27</f>
        <v/>
      </c>
      <c r="E28" s="31">
        <f>D28*(1-Assumptions!$B$36)+E27</f>
        <v/>
      </c>
      <c r="F28" s="31">
        <f>E28*(1-Assumptions!$B$36)+F27</f>
        <v/>
      </c>
      <c r="G28" s="31">
        <f>F28*(1-Assumptions!$B$36)+G27</f>
        <v/>
      </c>
      <c r="H28" s="31">
        <f>G28*(1-Assumptions!$B$36)+H27</f>
        <v/>
      </c>
      <c r="I28" s="31">
        <f>H28*(1-Assumptions!$B$36)+I27</f>
        <v/>
      </c>
      <c r="J28" s="31">
        <f>I28*(1-Assumptions!$B$36)+J27</f>
        <v/>
      </c>
      <c r="K28" s="31">
        <f>J28*(1-Assumptions!$B$36)+K27</f>
        <v/>
      </c>
      <c r="L28" s="31">
        <f>K28*(1-Assumptions!$B$36)+L27</f>
        <v/>
      </c>
      <c r="M28" s="31">
        <f>L28*(1-Assumptions!$B$36)+M27</f>
        <v/>
      </c>
      <c r="N28" s="31">
        <f>M28*(1-Assumptions!$B$36)+N27</f>
        <v/>
      </c>
      <c r="O28" s="31">
        <f>N28*(1-Assumptions!$B$36)+O27</f>
        <v/>
      </c>
      <c r="P28" s="31">
        <f>O28*(1-Assumptions!$B$36)+P27</f>
        <v/>
      </c>
      <c r="Q28" s="31">
        <f>P28*(1-Assumptions!$B$36)+Q27</f>
        <v/>
      </c>
      <c r="R28" s="31">
        <f>Q28*(1-Assumptions!$B$36)+R27</f>
        <v/>
      </c>
      <c r="S28" s="31">
        <f>R28*(1-Assumptions!$B$36)+S27</f>
        <v/>
      </c>
      <c r="T28" s="31">
        <f>S28*(1-Assumptions!$B$36)+T27</f>
        <v/>
      </c>
      <c r="U28" s="31">
        <f>T28*(1-Assumptions!$B$36)+U27</f>
        <v/>
      </c>
      <c r="V28" s="31">
        <f>U28*(1-Assumptions!$B$36)+V27</f>
        <v/>
      </c>
      <c r="W28" s="31">
        <f>V28*(1-Assumptions!$B$36)+W27</f>
        <v/>
      </c>
      <c r="X28" s="31">
        <f>W28*(1-Assumptions!$B$36)+X27</f>
        <v/>
      </c>
      <c r="Y28" s="31">
        <f>X28*(1-Assumptions!$B$36)+Y27</f>
        <v/>
      </c>
      <c r="Z28" s="31">
        <f>Y28*(1-Assumptions!$B$36)+Z27</f>
        <v/>
      </c>
      <c r="AA28" s="31">
        <f>Z28*(1-Assumptions!$B$36)+AA27</f>
        <v/>
      </c>
      <c r="AB28" s="31">
        <f>AA28*(1-Assumptions!$B$36)+AB27</f>
        <v/>
      </c>
      <c r="AC28" s="31">
        <f>AB28*(1-Assumptions!$B$36)+AC27</f>
        <v/>
      </c>
      <c r="AD28" s="31">
        <f>AC28*(1-Assumptions!$B$36)+AD27</f>
        <v/>
      </c>
      <c r="AE28" s="31">
        <f>AD28*(1-Assumptions!$B$36)+AE27</f>
        <v/>
      </c>
      <c r="AF28" s="31">
        <f>AE28*(1-Assumptions!$B$36)+AF27</f>
        <v/>
      </c>
      <c r="AG28" s="31">
        <f>AF28*(1-Assumptions!$B$36)+AG27</f>
        <v/>
      </c>
      <c r="AH28" s="31">
        <f>AG28*(1-Assumptions!$B$36)+AH27</f>
        <v/>
      </c>
      <c r="AI28" s="31">
        <f>AH28*(1-Assumptions!$B$36)+AI27</f>
        <v/>
      </c>
      <c r="AJ28" s="31">
        <f>AI28*(1-Assumptions!$B$36)+AJ27</f>
        <v/>
      </c>
      <c r="AK28" s="31">
        <f>AJ28*(1-Assumptions!$B$36)+AK27</f>
        <v/>
      </c>
      <c r="AL28" s="31">
        <f>AK28*(1-Assumptions!$B$36)+AL27</f>
        <v/>
      </c>
    </row>
    <row r="29">
      <c r="A29" t="inlineStr">
        <is>
          <t>[D] Retainer MRR</t>
        </is>
      </c>
      <c r="C29" s="32">
        <f>C28*Assumptions!$B$35</f>
        <v/>
      </c>
      <c r="D29" s="32">
        <f>D28*Assumptions!$B$35</f>
        <v/>
      </c>
      <c r="E29" s="32">
        <f>E28*Assumptions!$B$35</f>
        <v/>
      </c>
      <c r="F29" s="32">
        <f>F28*Assumptions!$B$35</f>
        <v/>
      </c>
      <c r="G29" s="32">
        <f>G28*Assumptions!$B$35</f>
        <v/>
      </c>
      <c r="H29" s="32">
        <f>H28*Assumptions!$B$35</f>
        <v/>
      </c>
      <c r="I29" s="32">
        <f>I28*Assumptions!$B$35</f>
        <v/>
      </c>
      <c r="J29" s="32">
        <f>J28*Assumptions!$B$35</f>
        <v/>
      </c>
      <c r="K29" s="32">
        <f>K28*Assumptions!$B$35</f>
        <v/>
      </c>
      <c r="L29" s="32">
        <f>L28*Assumptions!$B$35</f>
        <v/>
      </c>
      <c r="M29" s="32">
        <f>M28*Assumptions!$B$35</f>
        <v/>
      </c>
      <c r="N29" s="32">
        <f>N28*Assumptions!$B$35</f>
        <v/>
      </c>
      <c r="O29" s="32">
        <f>O28*Assumptions!$B$35</f>
        <v/>
      </c>
      <c r="P29" s="32">
        <f>P28*Assumptions!$B$35</f>
        <v/>
      </c>
      <c r="Q29" s="32">
        <f>Q28*Assumptions!$B$35</f>
        <v/>
      </c>
      <c r="R29" s="32">
        <f>R28*Assumptions!$B$35</f>
        <v/>
      </c>
      <c r="S29" s="32">
        <f>S28*Assumptions!$B$35</f>
        <v/>
      </c>
      <c r="T29" s="32">
        <f>T28*Assumptions!$B$35</f>
        <v/>
      </c>
      <c r="U29" s="32">
        <f>U28*Assumptions!$B$35</f>
        <v/>
      </c>
      <c r="V29" s="32">
        <f>V28*Assumptions!$B$35</f>
        <v/>
      </c>
      <c r="W29" s="32">
        <f>W28*Assumptions!$B$35</f>
        <v/>
      </c>
      <c r="X29" s="32">
        <f>X28*Assumptions!$B$35</f>
        <v/>
      </c>
      <c r="Y29" s="32">
        <f>Y28*Assumptions!$B$35</f>
        <v/>
      </c>
      <c r="Z29" s="32">
        <f>Z28*Assumptions!$B$35</f>
        <v/>
      </c>
      <c r="AA29" s="32">
        <f>AA28*Assumptions!$B$35</f>
        <v/>
      </c>
      <c r="AB29" s="32">
        <f>AB28*Assumptions!$B$35</f>
        <v/>
      </c>
      <c r="AC29" s="32">
        <f>AC28*Assumptions!$B$35</f>
        <v/>
      </c>
      <c r="AD29" s="32">
        <f>AD28*Assumptions!$B$35</f>
        <v/>
      </c>
      <c r="AE29" s="32">
        <f>AE28*Assumptions!$B$35</f>
        <v/>
      </c>
      <c r="AF29" s="32">
        <f>AF28*Assumptions!$B$35</f>
        <v/>
      </c>
      <c r="AG29" s="32">
        <f>AG28*Assumptions!$B$35</f>
        <v/>
      </c>
      <c r="AH29" s="32">
        <f>AH28*Assumptions!$B$35</f>
        <v/>
      </c>
      <c r="AI29" s="32">
        <f>AI28*Assumptions!$B$35</f>
        <v/>
      </c>
      <c r="AJ29" s="32">
        <f>AJ28*Assumptions!$B$35</f>
        <v/>
      </c>
      <c r="AK29" s="32">
        <f>AK28*Assumptions!$B$35</f>
        <v/>
      </c>
      <c r="AL29" s="32">
        <f>AL28*Assumptions!$B$35</f>
        <v/>
      </c>
    </row>
    <row r="31">
      <c r="A31" s="12" t="inlineStr">
        <is>
          <t>TOTAL monthly revenue</t>
        </is>
      </c>
      <c r="C31" s="32">
        <f>C10+C15+C17+C21+C22+C26+C29</f>
        <v/>
      </c>
      <c r="D31" s="32">
        <f>D10+D15+D17+D21+D22+D26+D29</f>
        <v/>
      </c>
      <c r="E31" s="32">
        <f>E10+E15+E17+E21+E22+E26+E29</f>
        <v/>
      </c>
      <c r="F31" s="32">
        <f>F10+F15+F17+F21+F22+F26+F29</f>
        <v/>
      </c>
      <c r="G31" s="32">
        <f>G10+G15+G17+G21+G22+G26+G29</f>
        <v/>
      </c>
      <c r="H31" s="32">
        <f>H10+H15+H17+H21+H22+H26+H29</f>
        <v/>
      </c>
      <c r="I31" s="32">
        <f>I10+I15+I17+I21+I22+I26+I29</f>
        <v/>
      </c>
      <c r="J31" s="32">
        <f>J10+J15+J17+J21+J22+J26+J29</f>
        <v/>
      </c>
      <c r="K31" s="32">
        <f>K10+K15+K17+K21+K22+K26+K29</f>
        <v/>
      </c>
      <c r="L31" s="32">
        <f>L10+L15+L17+L21+L22+L26+L29</f>
        <v/>
      </c>
      <c r="M31" s="32">
        <f>M10+M15+M17+M21+M22+M26+M29</f>
        <v/>
      </c>
      <c r="N31" s="32">
        <f>N10+N15+N17+N21+N22+N26+N29</f>
        <v/>
      </c>
      <c r="O31" s="32">
        <f>O10+O15+O17+O21+O22+O26+O29</f>
        <v/>
      </c>
      <c r="P31" s="32">
        <f>P10+P15+P17+P21+P22+P26+P29</f>
        <v/>
      </c>
      <c r="Q31" s="32">
        <f>Q10+Q15+Q17+Q21+Q22+Q26+Q29</f>
        <v/>
      </c>
      <c r="R31" s="32">
        <f>R10+R15+R17+R21+R22+R26+R29</f>
        <v/>
      </c>
      <c r="S31" s="32">
        <f>S10+S15+S17+S21+S22+S26+S29</f>
        <v/>
      </c>
      <c r="T31" s="32">
        <f>T10+T15+T17+T21+T22+T26+T29</f>
        <v/>
      </c>
      <c r="U31" s="32">
        <f>U10+U15+U17+U21+U22+U26+U29</f>
        <v/>
      </c>
      <c r="V31" s="32">
        <f>V10+V15+V17+V21+V22+V26+V29</f>
        <v/>
      </c>
      <c r="W31" s="32">
        <f>W10+W15+W17+W21+W22+W26+W29</f>
        <v/>
      </c>
      <c r="X31" s="32">
        <f>X10+X15+X17+X21+X22+X26+X29</f>
        <v/>
      </c>
      <c r="Y31" s="32">
        <f>Y10+Y15+Y17+Y21+Y22+Y26+Y29</f>
        <v/>
      </c>
      <c r="Z31" s="32">
        <f>Z10+Z15+Z17+Z21+Z22+Z26+Z29</f>
        <v/>
      </c>
      <c r="AA31" s="32">
        <f>AA10+AA15+AA17+AA21+AA22+AA26+AA29</f>
        <v/>
      </c>
      <c r="AB31" s="32">
        <f>AB10+AB15+AB17+AB21+AB22+AB26+AB29</f>
        <v/>
      </c>
      <c r="AC31" s="32">
        <f>AC10+AC15+AC17+AC21+AC22+AC26+AC29</f>
        <v/>
      </c>
      <c r="AD31" s="32">
        <f>AD10+AD15+AD17+AD21+AD22+AD26+AD29</f>
        <v/>
      </c>
      <c r="AE31" s="32">
        <f>AE10+AE15+AE17+AE21+AE22+AE26+AE29</f>
        <v/>
      </c>
      <c r="AF31" s="32">
        <f>AF10+AF15+AF17+AF21+AF22+AF26+AF29</f>
        <v/>
      </c>
      <c r="AG31" s="32">
        <f>AG10+AG15+AG17+AG21+AG22+AG26+AG29</f>
        <v/>
      </c>
      <c r="AH31" s="32">
        <f>AH10+AH15+AH17+AH21+AH22+AH26+AH29</f>
        <v/>
      </c>
      <c r="AI31" s="32">
        <f>AI10+AI15+AI17+AI21+AI22+AI26+AI29</f>
        <v/>
      </c>
      <c r="AJ31" s="32">
        <f>AJ10+AJ15+AJ17+AJ21+AJ22+AJ26+AJ29</f>
        <v/>
      </c>
      <c r="AK31" s="32">
        <f>AK10+AK15+AK17+AK21+AK22+AK26+AK29</f>
        <v/>
      </c>
      <c r="AL31" s="32">
        <f>AL10+AL15+AL17+AL21+AL22+AL26+AL29</f>
        <v/>
      </c>
    </row>
    <row r="32">
      <c r="A32" s="12" t="inlineStr">
        <is>
          <t>Recurring MRR</t>
        </is>
      </c>
      <c r="C32" s="32">
        <f>C15+C17+C21+C29</f>
        <v/>
      </c>
      <c r="D32" s="32">
        <f>D15+D17+D21+D29</f>
        <v/>
      </c>
      <c r="E32" s="32">
        <f>E15+E17+E21+E29</f>
        <v/>
      </c>
      <c r="F32" s="32">
        <f>F15+F17+F21+F29</f>
        <v/>
      </c>
      <c r="G32" s="32">
        <f>G15+G17+G21+G29</f>
        <v/>
      </c>
      <c r="H32" s="32">
        <f>H15+H17+H21+H29</f>
        <v/>
      </c>
      <c r="I32" s="32">
        <f>I15+I17+I21+I29</f>
        <v/>
      </c>
      <c r="J32" s="32">
        <f>J15+J17+J21+J29</f>
        <v/>
      </c>
      <c r="K32" s="32">
        <f>K15+K17+K21+K29</f>
        <v/>
      </c>
      <c r="L32" s="32">
        <f>L15+L17+L21+L29</f>
        <v/>
      </c>
      <c r="M32" s="32">
        <f>M15+M17+M21+M29</f>
        <v/>
      </c>
      <c r="N32" s="32">
        <f>N15+N17+N21+N29</f>
        <v/>
      </c>
      <c r="O32" s="32">
        <f>O15+O17+O21+O29</f>
        <v/>
      </c>
      <c r="P32" s="32">
        <f>P15+P17+P21+P29</f>
        <v/>
      </c>
      <c r="Q32" s="32">
        <f>Q15+Q17+Q21+Q29</f>
        <v/>
      </c>
      <c r="R32" s="32">
        <f>R15+R17+R21+R29</f>
        <v/>
      </c>
      <c r="S32" s="32">
        <f>S15+S17+S21+S29</f>
        <v/>
      </c>
      <c r="T32" s="32">
        <f>T15+T17+T21+T29</f>
        <v/>
      </c>
      <c r="U32" s="32">
        <f>U15+U17+U21+U29</f>
        <v/>
      </c>
      <c r="V32" s="32">
        <f>V15+V17+V21+V29</f>
        <v/>
      </c>
      <c r="W32" s="32">
        <f>W15+W17+W21+W29</f>
        <v/>
      </c>
      <c r="X32" s="32">
        <f>X15+X17+X21+X29</f>
        <v/>
      </c>
      <c r="Y32" s="32">
        <f>Y15+Y17+Y21+Y29</f>
        <v/>
      </c>
      <c r="Z32" s="32">
        <f>Z15+Z17+Z21+Z29</f>
        <v/>
      </c>
      <c r="AA32" s="32">
        <f>AA15+AA17+AA21+AA29</f>
        <v/>
      </c>
      <c r="AB32" s="32">
        <f>AB15+AB17+AB21+AB29</f>
        <v/>
      </c>
      <c r="AC32" s="32">
        <f>AC15+AC17+AC21+AC29</f>
        <v/>
      </c>
      <c r="AD32" s="32">
        <f>AD15+AD17+AD21+AD29</f>
        <v/>
      </c>
      <c r="AE32" s="32">
        <f>AE15+AE17+AE21+AE29</f>
        <v/>
      </c>
      <c r="AF32" s="32">
        <f>AF15+AF17+AF21+AF29</f>
        <v/>
      </c>
      <c r="AG32" s="32">
        <f>AG15+AG17+AG21+AG29</f>
        <v/>
      </c>
      <c r="AH32" s="32">
        <f>AH15+AH17+AH21+AH29</f>
        <v/>
      </c>
      <c r="AI32" s="32">
        <f>AI15+AI17+AI21+AI29</f>
        <v/>
      </c>
      <c r="AJ32" s="32">
        <f>AJ15+AJ17+AJ21+AJ29</f>
        <v/>
      </c>
      <c r="AK32" s="32">
        <f>AK15+AK17+AK21+AK29</f>
        <v/>
      </c>
      <c r="AL32" s="32">
        <f>AL15+AL17+AL21+AL29</f>
        <v/>
      </c>
    </row>
    <row r="33">
      <c r="A33" s="12" t="inlineStr">
        <is>
          <t>Cumulative revenue</t>
        </is>
      </c>
      <c r="C33" s="32">
        <f>C31</f>
        <v/>
      </c>
      <c r="D33" s="32">
        <f>C33+D31</f>
        <v/>
      </c>
      <c r="E33" s="32">
        <f>D33+E31</f>
        <v/>
      </c>
      <c r="F33" s="32">
        <f>E33+F31</f>
        <v/>
      </c>
      <c r="G33" s="32">
        <f>F33+G31</f>
        <v/>
      </c>
      <c r="H33" s="32">
        <f>G33+H31</f>
        <v/>
      </c>
      <c r="I33" s="32">
        <f>H33+I31</f>
        <v/>
      </c>
      <c r="J33" s="32">
        <f>I33+J31</f>
        <v/>
      </c>
      <c r="K33" s="32">
        <f>J33+K31</f>
        <v/>
      </c>
      <c r="L33" s="32">
        <f>K33+L31</f>
        <v/>
      </c>
      <c r="M33" s="32">
        <f>L33+M31</f>
        <v/>
      </c>
      <c r="N33" s="32">
        <f>M33+N31</f>
        <v/>
      </c>
      <c r="O33" s="32">
        <f>N33+O31</f>
        <v/>
      </c>
      <c r="P33" s="32">
        <f>O33+P31</f>
        <v/>
      </c>
      <c r="Q33" s="32">
        <f>P33+Q31</f>
        <v/>
      </c>
      <c r="R33" s="32">
        <f>Q33+R31</f>
        <v/>
      </c>
      <c r="S33" s="32">
        <f>R33+S31</f>
        <v/>
      </c>
      <c r="T33" s="32">
        <f>S33+T31</f>
        <v/>
      </c>
      <c r="U33" s="32">
        <f>T33+U31</f>
        <v/>
      </c>
      <c r="V33" s="32">
        <f>U33+V31</f>
        <v/>
      </c>
      <c r="W33" s="32">
        <f>V33+W31</f>
        <v/>
      </c>
      <c r="X33" s="32">
        <f>W33+X31</f>
        <v/>
      </c>
      <c r="Y33" s="32">
        <f>X33+Y31</f>
        <v/>
      </c>
      <c r="Z33" s="32">
        <f>Y33+Z31</f>
        <v/>
      </c>
      <c r="AA33" s="32">
        <f>Z33+AA31</f>
        <v/>
      </c>
      <c r="AB33" s="32">
        <f>AA33+AB31</f>
        <v/>
      </c>
      <c r="AC33" s="32">
        <f>AB33+AC31</f>
        <v/>
      </c>
      <c r="AD33" s="32">
        <f>AC33+AD31</f>
        <v/>
      </c>
      <c r="AE33" s="32">
        <f>AD33+AE31</f>
        <v/>
      </c>
      <c r="AF33" s="32">
        <f>AE33+AF31</f>
        <v/>
      </c>
      <c r="AG33" s="32">
        <f>AF33+AG31</f>
        <v/>
      </c>
      <c r="AH33" s="32">
        <f>AG33+AH31</f>
        <v/>
      </c>
      <c r="AI33" s="32">
        <f>AH33+AI31</f>
        <v/>
      </c>
      <c r="AJ33" s="32">
        <f>AI33+AJ31</f>
        <v/>
      </c>
      <c r="AK33" s="32">
        <f>AJ33+AK31</f>
        <v/>
      </c>
      <c r="AL33" s="32">
        <f>AK33+AL31</f>
        <v/>
      </c>
    </row>
    <row r="35">
      <c r="A35" t="inlineStr">
        <is>
          <t xml:space="preserve">  mix: Supporter</t>
        </is>
      </c>
      <c r="C35" s="32">
        <f>C10</f>
        <v/>
      </c>
      <c r="D35" s="32">
        <f>D10</f>
        <v/>
      </c>
      <c r="E35" s="32">
        <f>E10</f>
        <v/>
      </c>
      <c r="F35" s="32">
        <f>F10</f>
        <v/>
      </c>
      <c r="G35" s="32">
        <f>G10</f>
        <v/>
      </c>
      <c r="H35" s="32">
        <f>H10</f>
        <v/>
      </c>
      <c r="I35" s="32">
        <f>I10</f>
        <v/>
      </c>
      <c r="J35" s="32">
        <f>J10</f>
        <v/>
      </c>
      <c r="K35" s="32">
        <f>K10</f>
        <v/>
      </c>
      <c r="L35" s="32">
        <f>L10</f>
        <v/>
      </c>
      <c r="M35" s="32">
        <f>M10</f>
        <v/>
      </c>
      <c r="N35" s="32">
        <f>N10</f>
        <v/>
      </c>
      <c r="O35" s="32">
        <f>O10</f>
        <v/>
      </c>
      <c r="P35" s="32">
        <f>P10</f>
        <v/>
      </c>
      <c r="Q35" s="32">
        <f>Q10</f>
        <v/>
      </c>
      <c r="R35" s="32">
        <f>R10</f>
        <v/>
      </c>
      <c r="S35" s="32">
        <f>S10</f>
        <v/>
      </c>
      <c r="T35" s="32">
        <f>T10</f>
        <v/>
      </c>
      <c r="U35" s="32">
        <f>U10</f>
        <v/>
      </c>
      <c r="V35" s="32">
        <f>V10</f>
        <v/>
      </c>
      <c r="W35" s="32">
        <f>W10</f>
        <v/>
      </c>
      <c r="X35" s="32">
        <f>X10</f>
        <v/>
      </c>
      <c r="Y35" s="32">
        <f>Y10</f>
        <v/>
      </c>
      <c r="Z35" s="32">
        <f>Z10</f>
        <v/>
      </c>
      <c r="AA35" s="32">
        <f>AA10</f>
        <v/>
      </c>
      <c r="AB35" s="32">
        <f>AB10</f>
        <v/>
      </c>
      <c r="AC35" s="32">
        <f>AC10</f>
        <v/>
      </c>
      <c r="AD35" s="32">
        <f>AD10</f>
        <v/>
      </c>
      <c r="AE35" s="32">
        <f>AE10</f>
        <v/>
      </c>
      <c r="AF35" s="32">
        <f>AF10</f>
        <v/>
      </c>
      <c r="AG35" s="32">
        <f>AG10</f>
        <v/>
      </c>
      <c r="AH35" s="32">
        <f>AH10</f>
        <v/>
      </c>
      <c r="AI35" s="32">
        <f>AI10</f>
        <v/>
      </c>
      <c r="AJ35" s="32">
        <f>AJ10</f>
        <v/>
      </c>
      <c r="AK35" s="32">
        <f>AK10</f>
        <v/>
      </c>
      <c r="AL35" s="32">
        <f>AL10</f>
        <v/>
      </c>
    </row>
    <row r="36">
      <c r="A36" t="inlineStr">
        <is>
          <t xml:space="preserve">  mix: Pro</t>
        </is>
      </c>
      <c r="C36" s="32">
        <f>C15</f>
        <v/>
      </c>
      <c r="D36" s="32">
        <f>D15</f>
        <v/>
      </c>
      <c r="E36" s="32">
        <f>E15</f>
        <v/>
      </c>
      <c r="F36" s="32">
        <f>F15</f>
        <v/>
      </c>
      <c r="G36" s="32">
        <f>G15</f>
        <v/>
      </c>
      <c r="H36" s="32">
        <f>H15</f>
        <v/>
      </c>
      <c r="I36" s="32">
        <f>I15</f>
        <v/>
      </c>
      <c r="J36" s="32">
        <f>J15</f>
        <v/>
      </c>
      <c r="K36" s="32">
        <f>K15</f>
        <v/>
      </c>
      <c r="L36" s="32">
        <f>L15</f>
        <v/>
      </c>
      <c r="M36" s="32">
        <f>M15</f>
        <v/>
      </c>
      <c r="N36" s="32">
        <f>N15</f>
        <v/>
      </c>
      <c r="O36" s="32">
        <f>O15</f>
        <v/>
      </c>
      <c r="P36" s="32">
        <f>P15</f>
        <v/>
      </c>
      <c r="Q36" s="32">
        <f>Q15</f>
        <v/>
      </c>
      <c r="R36" s="32">
        <f>R15</f>
        <v/>
      </c>
      <c r="S36" s="32">
        <f>S15</f>
        <v/>
      </c>
      <c r="T36" s="32">
        <f>T15</f>
        <v/>
      </c>
      <c r="U36" s="32">
        <f>U15</f>
        <v/>
      </c>
      <c r="V36" s="32">
        <f>V15</f>
        <v/>
      </c>
      <c r="W36" s="32">
        <f>W15</f>
        <v/>
      </c>
      <c r="X36" s="32">
        <f>X15</f>
        <v/>
      </c>
      <c r="Y36" s="32">
        <f>Y15</f>
        <v/>
      </c>
      <c r="Z36" s="32">
        <f>Z15</f>
        <v/>
      </c>
      <c r="AA36" s="32">
        <f>AA15</f>
        <v/>
      </c>
      <c r="AB36" s="32">
        <f>AB15</f>
        <v/>
      </c>
      <c r="AC36" s="32">
        <f>AC15</f>
        <v/>
      </c>
      <c r="AD36" s="32">
        <f>AD15</f>
        <v/>
      </c>
      <c r="AE36" s="32">
        <f>AE15</f>
        <v/>
      </c>
      <c r="AF36" s="32">
        <f>AF15</f>
        <v/>
      </c>
      <c r="AG36" s="32">
        <f>AG15</f>
        <v/>
      </c>
      <c r="AH36" s="32">
        <f>AH15</f>
        <v/>
      </c>
      <c r="AI36" s="32">
        <f>AI15</f>
        <v/>
      </c>
      <c r="AJ36" s="32">
        <f>AJ15</f>
        <v/>
      </c>
      <c r="AK36" s="32">
        <f>AK15</f>
        <v/>
      </c>
      <c r="AL36" s="32">
        <f>AL15</f>
        <v/>
      </c>
    </row>
    <row r="37">
      <c r="A37" t="inlineStr">
        <is>
          <t xml:space="preserve">  mix: Cloud</t>
        </is>
      </c>
      <c r="C37" s="32">
        <f>C17</f>
        <v/>
      </c>
      <c r="D37" s="32">
        <f>D17</f>
        <v/>
      </c>
      <c r="E37" s="32">
        <f>E17</f>
        <v/>
      </c>
      <c r="F37" s="32">
        <f>F17</f>
        <v/>
      </c>
      <c r="G37" s="32">
        <f>G17</f>
        <v/>
      </c>
      <c r="H37" s="32">
        <f>H17</f>
        <v/>
      </c>
      <c r="I37" s="32">
        <f>I17</f>
        <v/>
      </c>
      <c r="J37" s="32">
        <f>J17</f>
        <v/>
      </c>
      <c r="K37" s="32">
        <f>K17</f>
        <v/>
      </c>
      <c r="L37" s="32">
        <f>L17</f>
        <v/>
      </c>
      <c r="M37" s="32">
        <f>M17</f>
        <v/>
      </c>
      <c r="N37" s="32">
        <f>N17</f>
        <v/>
      </c>
      <c r="O37" s="32">
        <f>O17</f>
        <v/>
      </c>
      <c r="P37" s="32">
        <f>P17</f>
        <v/>
      </c>
      <c r="Q37" s="32">
        <f>Q17</f>
        <v/>
      </c>
      <c r="R37" s="32">
        <f>R17</f>
        <v/>
      </c>
      <c r="S37" s="32">
        <f>S17</f>
        <v/>
      </c>
      <c r="T37" s="32">
        <f>T17</f>
        <v/>
      </c>
      <c r="U37" s="32">
        <f>U17</f>
        <v/>
      </c>
      <c r="V37" s="32">
        <f>V17</f>
        <v/>
      </c>
      <c r="W37" s="32">
        <f>W17</f>
        <v/>
      </c>
      <c r="X37" s="32">
        <f>X17</f>
        <v/>
      </c>
      <c r="Y37" s="32">
        <f>Y17</f>
        <v/>
      </c>
      <c r="Z37" s="32">
        <f>Z17</f>
        <v/>
      </c>
      <c r="AA37" s="32">
        <f>AA17</f>
        <v/>
      </c>
      <c r="AB37" s="32">
        <f>AB17</f>
        <v/>
      </c>
      <c r="AC37" s="32">
        <f>AC17</f>
        <v/>
      </c>
      <c r="AD37" s="32">
        <f>AD17</f>
        <v/>
      </c>
      <c r="AE37" s="32">
        <f>AE17</f>
        <v/>
      </c>
      <c r="AF37" s="32">
        <f>AF17</f>
        <v/>
      </c>
      <c r="AG37" s="32">
        <f>AG17</f>
        <v/>
      </c>
      <c r="AH37" s="32">
        <f>AH17</f>
        <v/>
      </c>
      <c r="AI37" s="32">
        <f>AI17</f>
        <v/>
      </c>
      <c r="AJ37" s="32">
        <f>AJ17</f>
        <v/>
      </c>
      <c r="AK37" s="32">
        <f>AK17</f>
        <v/>
      </c>
      <c r="AL37" s="32">
        <f>AL17</f>
        <v/>
      </c>
    </row>
    <row r="38">
      <c r="A38" t="inlineStr">
        <is>
          <t xml:space="preserve">  mix: Content</t>
        </is>
      </c>
      <c r="C38" s="32">
        <f>C21+C22</f>
        <v/>
      </c>
      <c r="D38" s="32">
        <f>D21+D22</f>
        <v/>
      </c>
      <c r="E38" s="32">
        <f>E21+E22</f>
        <v/>
      </c>
      <c r="F38" s="32">
        <f>F21+F22</f>
        <v/>
      </c>
      <c r="G38" s="32">
        <f>G21+G22</f>
        <v/>
      </c>
      <c r="H38" s="32">
        <f>H21+H22</f>
        <v/>
      </c>
      <c r="I38" s="32">
        <f>I21+I22</f>
        <v/>
      </c>
      <c r="J38" s="32">
        <f>J21+J22</f>
        <v/>
      </c>
      <c r="K38" s="32">
        <f>K21+K22</f>
        <v/>
      </c>
      <c r="L38" s="32">
        <f>L21+L22</f>
        <v/>
      </c>
      <c r="M38" s="32">
        <f>M21+M22</f>
        <v/>
      </c>
      <c r="N38" s="32">
        <f>N21+N22</f>
        <v/>
      </c>
      <c r="O38" s="32">
        <f>O21+O22</f>
        <v/>
      </c>
      <c r="P38" s="32">
        <f>P21+P22</f>
        <v/>
      </c>
      <c r="Q38" s="32">
        <f>Q21+Q22</f>
        <v/>
      </c>
      <c r="R38" s="32">
        <f>R21+R22</f>
        <v/>
      </c>
      <c r="S38" s="32">
        <f>S21+S22</f>
        <v/>
      </c>
      <c r="T38" s="32">
        <f>T21+T22</f>
        <v/>
      </c>
      <c r="U38" s="32">
        <f>U21+U22</f>
        <v/>
      </c>
      <c r="V38" s="32">
        <f>V21+V22</f>
        <v/>
      </c>
      <c r="W38" s="32">
        <f>W21+W22</f>
        <v/>
      </c>
      <c r="X38" s="32">
        <f>X21+X22</f>
        <v/>
      </c>
      <c r="Y38" s="32">
        <f>Y21+Y22</f>
        <v/>
      </c>
      <c r="Z38" s="32">
        <f>Z21+Z22</f>
        <v/>
      </c>
      <c r="AA38" s="32">
        <f>AA21+AA22</f>
        <v/>
      </c>
      <c r="AB38" s="32">
        <f>AB21+AB22</f>
        <v/>
      </c>
      <c r="AC38" s="32">
        <f>AC21+AC22</f>
        <v/>
      </c>
      <c r="AD38" s="32">
        <f>AD21+AD22</f>
        <v/>
      </c>
      <c r="AE38" s="32">
        <f>AE21+AE22</f>
        <v/>
      </c>
      <c r="AF38" s="32">
        <f>AF21+AF22</f>
        <v/>
      </c>
      <c r="AG38" s="32">
        <f>AG21+AG22</f>
        <v/>
      </c>
      <c r="AH38" s="32">
        <f>AH21+AH22</f>
        <v/>
      </c>
      <c r="AI38" s="32">
        <f>AI21+AI22</f>
        <v/>
      </c>
      <c r="AJ38" s="32">
        <f>AJ21+AJ22</f>
        <v/>
      </c>
      <c r="AK38" s="32">
        <f>AK21+AK22</f>
        <v/>
      </c>
      <c r="AL38" s="32">
        <f>AL21+AL22</f>
        <v/>
      </c>
    </row>
    <row r="39">
      <c r="A39" t="inlineStr">
        <is>
          <t xml:space="preserve">  mix: Services</t>
        </is>
      </c>
      <c r="C39" s="32">
        <f>C26+C29</f>
        <v/>
      </c>
      <c r="D39" s="32">
        <f>D26+D29</f>
        <v/>
      </c>
      <c r="E39" s="32">
        <f>E26+E29</f>
        <v/>
      </c>
      <c r="F39" s="32">
        <f>F26+F29</f>
        <v/>
      </c>
      <c r="G39" s="32">
        <f>G26+G29</f>
        <v/>
      </c>
      <c r="H39" s="32">
        <f>H26+H29</f>
        <v/>
      </c>
      <c r="I39" s="32">
        <f>I26+I29</f>
        <v/>
      </c>
      <c r="J39" s="32">
        <f>J26+J29</f>
        <v/>
      </c>
      <c r="K39" s="32">
        <f>K26+K29</f>
        <v/>
      </c>
      <c r="L39" s="32">
        <f>L26+L29</f>
        <v/>
      </c>
      <c r="M39" s="32">
        <f>M26+M29</f>
        <v/>
      </c>
      <c r="N39" s="32">
        <f>N26+N29</f>
        <v/>
      </c>
      <c r="O39" s="32">
        <f>O26+O29</f>
        <v/>
      </c>
      <c r="P39" s="32">
        <f>P26+P29</f>
        <v/>
      </c>
      <c r="Q39" s="32">
        <f>Q26+Q29</f>
        <v/>
      </c>
      <c r="R39" s="32">
        <f>R26+R29</f>
        <v/>
      </c>
      <c r="S39" s="32">
        <f>S26+S29</f>
        <v/>
      </c>
      <c r="T39" s="32">
        <f>T26+T29</f>
        <v/>
      </c>
      <c r="U39" s="32">
        <f>U26+U29</f>
        <v/>
      </c>
      <c r="V39" s="32">
        <f>V26+V29</f>
        <v/>
      </c>
      <c r="W39" s="32">
        <f>W26+W29</f>
        <v/>
      </c>
      <c r="X39" s="32">
        <f>X26+X29</f>
        <v/>
      </c>
      <c r="Y39" s="32">
        <f>Y26+Y29</f>
        <v/>
      </c>
      <c r="Z39" s="32">
        <f>Z26+Z29</f>
        <v/>
      </c>
      <c r="AA39" s="32">
        <f>AA26+AA29</f>
        <v/>
      </c>
      <c r="AB39" s="32">
        <f>AB26+AB29</f>
        <v/>
      </c>
      <c r="AC39" s="32">
        <f>AC26+AC29</f>
        <v/>
      </c>
      <c r="AD39" s="32">
        <f>AD26+AD29</f>
        <v/>
      </c>
      <c r="AE39" s="32">
        <f>AE26+AE29</f>
        <v/>
      </c>
      <c r="AF39" s="32">
        <f>AF26+AF29</f>
        <v/>
      </c>
      <c r="AG39" s="32">
        <f>AG26+AG29</f>
        <v/>
      </c>
      <c r="AH39" s="32">
        <f>AH26+AH29</f>
        <v/>
      </c>
      <c r="AI39" s="32">
        <f>AI26+AI29</f>
        <v/>
      </c>
      <c r="AJ39" s="32">
        <f>AJ26+AJ29</f>
        <v/>
      </c>
      <c r="AK39" s="32">
        <f>AK26+AK29</f>
        <v/>
      </c>
      <c r="AL39" s="32">
        <f>AL26+AL29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2" t="inlineStr">
        <is>
          <t>Base ENGINE  (drives off Assumptions col C)</t>
        </is>
      </c>
    </row>
    <row r="2">
      <c r="A2" s="3" t="inlineStr">
        <is>
          <t>Month</t>
        </is>
      </c>
      <c r="C2" s="29" t="n">
        <v>1</v>
      </c>
      <c r="D2" s="29" t="n">
        <v>2</v>
      </c>
      <c r="E2" s="29" t="n">
        <v>3</v>
      </c>
      <c r="F2" s="29" t="n">
        <v>4</v>
      </c>
      <c r="G2" s="29" t="n">
        <v>5</v>
      </c>
      <c r="H2" s="29" t="n">
        <v>6</v>
      </c>
      <c r="I2" s="29" t="n">
        <v>7</v>
      </c>
      <c r="J2" s="29" t="n">
        <v>8</v>
      </c>
      <c r="K2" s="29" t="n">
        <v>9</v>
      </c>
      <c r="L2" s="29" t="n">
        <v>10</v>
      </c>
      <c r="M2" s="29" t="n">
        <v>11</v>
      </c>
      <c r="N2" s="29" t="n">
        <v>12</v>
      </c>
      <c r="O2" s="29" t="n">
        <v>13</v>
      </c>
      <c r="P2" s="29" t="n">
        <v>14</v>
      </c>
      <c r="Q2" s="29" t="n">
        <v>15</v>
      </c>
      <c r="R2" s="29" t="n">
        <v>16</v>
      </c>
      <c r="S2" s="29" t="n">
        <v>17</v>
      </c>
      <c r="T2" s="29" t="n">
        <v>18</v>
      </c>
      <c r="U2" s="29" t="n">
        <v>19</v>
      </c>
      <c r="V2" s="29" t="n">
        <v>20</v>
      </c>
      <c r="W2" s="29" t="n">
        <v>21</v>
      </c>
      <c r="X2" s="29" t="n">
        <v>22</v>
      </c>
      <c r="Y2" s="29" t="n">
        <v>23</v>
      </c>
      <c r="Z2" s="29" t="n">
        <v>24</v>
      </c>
      <c r="AA2" s="29" t="n">
        <v>25</v>
      </c>
      <c r="AB2" s="29" t="n">
        <v>26</v>
      </c>
      <c r="AC2" s="29" t="n">
        <v>27</v>
      </c>
      <c r="AD2" s="29" t="n">
        <v>28</v>
      </c>
      <c r="AE2" s="29" t="n">
        <v>29</v>
      </c>
      <c r="AF2" s="29" t="n">
        <v>30</v>
      </c>
      <c r="AG2" s="29" t="n">
        <v>31</v>
      </c>
      <c r="AH2" s="29" t="n">
        <v>32</v>
      </c>
      <c r="AI2" s="29" t="n">
        <v>33</v>
      </c>
      <c r="AJ2" s="29" t="n">
        <v>34</v>
      </c>
      <c r="AK2" s="29" t="n">
        <v>35</v>
      </c>
      <c r="AL2" s="29" t="n">
        <v>36</v>
      </c>
    </row>
    <row r="3">
      <c r="A3" s="3" t="inlineStr">
        <is>
          <t>Year</t>
        </is>
      </c>
      <c r="C3" s="30" t="n">
        <v>1</v>
      </c>
      <c r="D3" s="30" t="n">
        <v>1</v>
      </c>
      <c r="E3" s="30" t="n">
        <v>1</v>
      </c>
      <c r="F3" s="30" t="n">
        <v>1</v>
      </c>
      <c r="G3" s="30" t="n">
        <v>1</v>
      </c>
      <c r="H3" s="30" t="n">
        <v>1</v>
      </c>
      <c r="I3" s="30" t="n">
        <v>1</v>
      </c>
      <c r="J3" s="30" t="n">
        <v>1</v>
      </c>
      <c r="K3" s="30" t="n">
        <v>1</v>
      </c>
      <c r="L3" s="30" t="n">
        <v>1</v>
      </c>
      <c r="M3" s="30" t="n">
        <v>1</v>
      </c>
      <c r="N3" s="30" t="n">
        <v>1</v>
      </c>
      <c r="O3" s="30" t="n">
        <v>2</v>
      </c>
      <c r="P3" s="30" t="n">
        <v>2</v>
      </c>
      <c r="Q3" s="30" t="n">
        <v>2</v>
      </c>
      <c r="R3" s="30" t="n">
        <v>2</v>
      </c>
      <c r="S3" s="30" t="n">
        <v>2</v>
      </c>
      <c r="T3" s="30" t="n">
        <v>2</v>
      </c>
      <c r="U3" s="30" t="n">
        <v>2</v>
      </c>
      <c r="V3" s="30" t="n">
        <v>2</v>
      </c>
      <c r="W3" s="30" t="n">
        <v>2</v>
      </c>
      <c r="X3" s="30" t="n">
        <v>2</v>
      </c>
      <c r="Y3" s="30" t="n">
        <v>2</v>
      </c>
      <c r="Z3" s="30" t="n">
        <v>2</v>
      </c>
      <c r="AA3" s="30" t="n">
        <v>3</v>
      </c>
      <c r="AB3" s="30" t="n">
        <v>3</v>
      </c>
      <c r="AC3" s="30" t="n">
        <v>3</v>
      </c>
      <c r="AD3" s="30" t="n">
        <v>3</v>
      </c>
      <c r="AE3" s="30" t="n">
        <v>3</v>
      </c>
      <c r="AF3" s="30" t="n">
        <v>3</v>
      </c>
      <c r="AG3" s="30" t="n">
        <v>3</v>
      </c>
      <c r="AH3" s="30" t="n">
        <v>3</v>
      </c>
      <c r="AI3" s="30" t="n">
        <v>3</v>
      </c>
      <c r="AJ3" s="30" t="n">
        <v>3</v>
      </c>
      <c r="AK3" s="30" t="n">
        <v>3</v>
      </c>
      <c r="AL3" s="30" t="n">
        <v>3</v>
      </c>
    </row>
    <row r="5">
      <c r="A5" t="inlineStr">
        <is>
          <t>Active installs</t>
        </is>
      </c>
      <c r="C5" s="31">
        <f>Assumptions!$C$5</f>
        <v/>
      </c>
      <c r="D5" s="31">
        <f>C5*(1+Assumptions!$C$6*POWER(Assumptions!$C$11,D2-1))</f>
        <v/>
      </c>
      <c r="E5" s="31">
        <f>D5*(1+Assumptions!$C$6*POWER(Assumptions!$C$11,E2-1))</f>
        <v/>
      </c>
      <c r="F5" s="31">
        <f>E5*(1+Assumptions!$C$6*POWER(Assumptions!$C$11,F2-1))</f>
        <v/>
      </c>
      <c r="G5" s="31">
        <f>F5*(1+Assumptions!$C$6*POWER(Assumptions!$C$11,G2-1))</f>
        <v/>
      </c>
      <c r="H5" s="31">
        <f>G5*(1+Assumptions!$C$6*POWER(Assumptions!$C$11,H2-1))</f>
        <v/>
      </c>
      <c r="I5" s="31">
        <f>H5*(1+Assumptions!$C$6*POWER(Assumptions!$C$11,I2-1))</f>
        <v/>
      </c>
      <c r="J5" s="31">
        <f>I5*(1+Assumptions!$C$6*POWER(Assumptions!$C$11,J2-1))</f>
        <v/>
      </c>
      <c r="K5" s="31">
        <f>J5*(1+Assumptions!$C$6*POWER(Assumptions!$C$11,K2-1))</f>
        <v/>
      </c>
      <c r="L5" s="31">
        <f>K5*(1+Assumptions!$C$6*POWER(Assumptions!$C$11,L2-1))</f>
        <v/>
      </c>
      <c r="M5" s="31">
        <f>L5*(1+Assumptions!$C$6*POWER(Assumptions!$C$11,M2-1))</f>
        <v/>
      </c>
      <c r="N5" s="31">
        <f>M5*(1+Assumptions!$C$6*POWER(Assumptions!$C$11,N2-1))</f>
        <v/>
      </c>
      <c r="O5" s="31">
        <f>N5*(1+Assumptions!$C$6*POWER(Assumptions!$C$11,O2-1))</f>
        <v/>
      </c>
      <c r="P5" s="31">
        <f>O5*(1+Assumptions!$C$6*POWER(Assumptions!$C$11,P2-1))</f>
        <v/>
      </c>
      <c r="Q5" s="31">
        <f>P5*(1+Assumptions!$C$6*POWER(Assumptions!$C$11,Q2-1))</f>
        <v/>
      </c>
      <c r="R5" s="31">
        <f>Q5*(1+Assumptions!$C$6*POWER(Assumptions!$C$11,R2-1))</f>
        <v/>
      </c>
      <c r="S5" s="31">
        <f>R5*(1+Assumptions!$C$6*POWER(Assumptions!$C$11,S2-1))</f>
        <v/>
      </c>
      <c r="T5" s="31">
        <f>S5*(1+Assumptions!$C$6*POWER(Assumptions!$C$11,T2-1))</f>
        <v/>
      </c>
      <c r="U5" s="31">
        <f>T5*(1+Assumptions!$C$6*POWER(Assumptions!$C$11,U2-1))</f>
        <v/>
      </c>
      <c r="V5" s="31">
        <f>U5*(1+Assumptions!$C$6*POWER(Assumptions!$C$11,V2-1))</f>
        <v/>
      </c>
      <c r="W5" s="31">
        <f>V5*(1+Assumptions!$C$6*POWER(Assumptions!$C$11,W2-1))</f>
        <v/>
      </c>
      <c r="X5" s="31">
        <f>W5*(1+Assumptions!$C$6*POWER(Assumptions!$C$11,X2-1))</f>
        <v/>
      </c>
      <c r="Y5" s="31">
        <f>X5*(1+Assumptions!$C$6*POWER(Assumptions!$C$11,Y2-1))</f>
        <v/>
      </c>
      <c r="Z5" s="31">
        <f>Y5*(1+Assumptions!$C$6*POWER(Assumptions!$C$11,Z2-1))</f>
        <v/>
      </c>
      <c r="AA5" s="31">
        <f>Z5*(1+Assumptions!$C$6*POWER(Assumptions!$C$11,AA2-1))</f>
        <v/>
      </c>
      <c r="AB5" s="31">
        <f>AA5*(1+Assumptions!$C$6*POWER(Assumptions!$C$11,AB2-1))</f>
        <v/>
      </c>
      <c r="AC5" s="31">
        <f>AB5*(1+Assumptions!$C$6*POWER(Assumptions!$C$11,AC2-1))</f>
        <v/>
      </c>
      <c r="AD5" s="31">
        <f>AC5*(1+Assumptions!$C$6*POWER(Assumptions!$C$11,AD2-1))</f>
        <v/>
      </c>
      <c r="AE5" s="31">
        <f>AD5*(1+Assumptions!$C$6*POWER(Assumptions!$C$11,AE2-1))</f>
        <v/>
      </c>
      <c r="AF5" s="31">
        <f>AE5*(1+Assumptions!$C$6*POWER(Assumptions!$C$11,AF2-1))</f>
        <v/>
      </c>
      <c r="AG5" s="31">
        <f>AF5*(1+Assumptions!$C$6*POWER(Assumptions!$C$11,AG2-1))</f>
        <v/>
      </c>
      <c r="AH5" s="31">
        <f>AG5*(1+Assumptions!$C$6*POWER(Assumptions!$C$11,AH2-1))</f>
        <v/>
      </c>
      <c r="AI5" s="31">
        <f>AH5*(1+Assumptions!$C$6*POWER(Assumptions!$C$11,AI2-1))</f>
        <v/>
      </c>
      <c r="AJ5" s="31">
        <f>AI5*(1+Assumptions!$C$6*POWER(Assumptions!$C$11,AJ2-1))</f>
        <v/>
      </c>
      <c r="AK5" s="31">
        <f>AJ5*(1+Assumptions!$C$6*POWER(Assumptions!$C$11,AK2-1))</f>
        <v/>
      </c>
      <c r="AL5" s="31">
        <f>AK5*(1+Assumptions!$C$6*POWER(Assumptions!$C$11,AL2-1))</f>
        <v/>
      </c>
    </row>
    <row r="6">
      <c r="A6" t="inlineStr">
        <is>
          <t>Email subscribers</t>
        </is>
      </c>
      <c r="C6" s="31">
        <f>Assumptions!$C$7</f>
        <v/>
      </c>
      <c r="D6" s="31">
        <f>C6*(1+Assumptions!$C$8*POWER(Assumptions!$C$11,D2-1))</f>
        <v/>
      </c>
      <c r="E6" s="31">
        <f>D6*(1+Assumptions!$C$8*POWER(Assumptions!$C$11,E2-1))</f>
        <v/>
      </c>
      <c r="F6" s="31">
        <f>E6*(1+Assumptions!$C$8*POWER(Assumptions!$C$11,F2-1))</f>
        <v/>
      </c>
      <c r="G6" s="31">
        <f>F6*(1+Assumptions!$C$8*POWER(Assumptions!$C$11,G2-1))</f>
        <v/>
      </c>
      <c r="H6" s="31">
        <f>G6*(1+Assumptions!$C$8*POWER(Assumptions!$C$11,H2-1))</f>
        <v/>
      </c>
      <c r="I6" s="31">
        <f>H6*(1+Assumptions!$C$8*POWER(Assumptions!$C$11,I2-1))</f>
        <v/>
      </c>
      <c r="J6" s="31">
        <f>I6*(1+Assumptions!$C$8*POWER(Assumptions!$C$11,J2-1))</f>
        <v/>
      </c>
      <c r="K6" s="31">
        <f>J6*(1+Assumptions!$C$8*POWER(Assumptions!$C$11,K2-1))</f>
        <v/>
      </c>
      <c r="L6" s="31">
        <f>K6*(1+Assumptions!$C$8*POWER(Assumptions!$C$11,L2-1))</f>
        <v/>
      </c>
      <c r="M6" s="31">
        <f>L6*(1+Assumptions!$C$8*POWER(Assumptions!$C$11,M2-1))</f>
        <v/>
      </c>
      <c r="N6" s="31">
        <f>M6*(1+Assumptions!$C$8*POWER(Assumptions!$C$11,N2-1))</f>
        <v/>
      </c>
      <c r="O6" s="31">
        <f>N6*(1+Assumptions!$C$8*POWER(Assumptions!$C$11,O2-1))</f>
        <v/>
      </c>
      <c r="P6" s="31">
        <f>O6*(1+Assumptions!$C$8*POWER(Assumptions!$C$11,P2-1))</f>
        <v/>
      </c>
      <c r="Q6" s="31">
        <f>P6*(1+Assumptions!$C$8*POWER(Assumptions!$C$11,Q2-1))</f>
        <v/>
      </c>
      <c r="R6" s="31">
        <f>Q6*(1+Assumptions!$C$8*POWER(Assumptions!$C$11,R2-1))</f>
        <v/>
      </c>
      <c r="S6" s="31">
        <f>R6*(1+Assumptions!$C$8*POWER(Assumptions!$C$11,S2-1))</f>
        <v/>
      </c>
      <c r="T6" s="31">
        <f>S6*(1+Assumptions!$C$8*POWER(Assumptions!$C$11,T2-1))</f>
        <v/>
      </c>
      <c r="U6" s="31">
        <f>T6*(1+Assumptions!$C$8*POWER(Assumptions!$C$11,U2-1))</f>
        <v/>
      </c>
      <c r="V6" s="31">
        <f>U6*(1+Assumptions!$C$8*POWER(Assumptions!$C$11,V2-1))</f>
        <v/>
      </c>
      <c r="W6" s="31">
        <f>V6*(1+Assumptions!$C$8*POWER(Assumptions!$C$11,W2-1))</f>
        <v/>
      </c>
      <c r="X6" s="31">
        <f>W6*(1+Assumptions!$C$8*POWER(Assumptions!$C$11,X2-1))</f>
        <v/>
      </c>
      <c r="Y6" s="31">
        <f>X6*(1+Assumptions!$C$8*POWER(Assumptions!$C$11,Y2-1))</f>
        <v/>
      </c>
      <c r="Z6" s="31">
        <f>Y6*(1+Assumptions!$C$8*POWER(Assumptions!$C$11,Z2-1))</f>
        <v/>
      </c>
      <c r="AA6" s="31">
        <f>Z6*(1+Assumptions!$C$8*POWER(Assumptions!$C$11,AA2-1))</f>
        <v/>
      </c>
      <c r="AB6" s="31">
        <f>AA6*(1+Assumptions!$C$8*POWER(Assumptions!$C$11,AB2-1))</f>
        <v/>
      </c>
      <c r="AC6" s="31">
        <f>AB6*(1+Assumptions!$C$8*POWER(Assumptions!$C$11,AC2-1))</f>
        <v/>
      </c>
      <c r="AD6" s="31">
        <f>AC6*(1+Assumptions!$C$8*POWER(Assumptions!$C$11,AD2-1))</f>
        <v/>
      </c>
      <c r="AE6" s="31">
        <f>AD6*(1+Assumptions!$C$8*POWER(Assumptions!$C$11,AE2-1))</f>
        <v/>
      </c>
      <c r="AF6" s="31">
        <f>AE6*(1+Assumptions!$C$8*POWER(Assumptions!$C$11,AF2-1))</f>
        <v/>
      </c>
      <c r="AG6" s="31">
        <f>AF6*(1+Assumptions!$C$8*POWER(Assumptions!$C$11,AG2-1))</f>
        <v/>
      </c>
      <c r="AH6" s="31">
        <f>AG6*(1+Assumptions!$C$8*POWER(Assumptions!$C$11,AH2-1))</f>
        <v/>
      </c>
      <c r="AI6" s="31">
        <f>AH6*(1+Assumptions!$C$8*POWER(Assumptions!$C$11,AI2-1))</f>
        <v/>
      </c>
      <c r="AJ6" s="31">
        <f>AI6*(1+Assumptions!$C$8*POWER(Assumptions!$C$11,AJ2-1))</f>
        <v/>
      </c>
      <c r="AK6" s="31">
        <f>AJ6*(1+Assumptions!$C$8*POWER(Assumptions!$C$11,AK2-1))</f>
        <v/>
      </c>
      <c r="AL6" s="31">
        <f>AK6*(1+Assumptions!$C$8*POWER(Assumptions!$C$11,AL2-1))</f>
        <v/>
      </c>
    </row>
    <row r="7">
      <c r="A7" t="inlineStr">
        <is>
          <t>Service leads / mo</t>
        </is>
      </c>
      <c r="C7" s="31">
        <f>Assumptions!$C$9</f>
        <v/>
      </c>
      <c r="D7" s="31">
        <f>C7*(1+Assumptions!$C$10*POWER(Assumptions!$C$11,D2-1))</f>
        <v/>
      </c>
      <c r="E7" s="31">
        <f>D7*(1+Assumptions!$C$10*POWER(Assumptions!$C$11,E2-1))</f>
        <v/>
      </c>
      <c r="F7" s="31">
        <f>E7*(1+Assumptions!$C$10*POWER(Assumptions!$C$11,F2-1))</f>
        <v/>
      </c>
      <c r="G7" s="31">
        <f>F7*(1+Assumptions!$C$10*POWER(Assumptions!$C$11,G2-1))</f>
        <v/>
      </c>
      <c r="H7" s="31">
        <f>G7*(1+Assumptions!$C$10*POWER(Assumptions!$C$11,H2-1))</f>
        <v/>
      </c>
      <c r="I7" s="31">
        <f>H7*(1+Assumptions!$C$10*POWER(Assumptions!$C$11,I2-1))</f>
        <v/>
      </c>
      <c r="J7" s="31">
        <f>I7*(1+Assumptions!$C$10*POWER(Assumptions!$C$11,J2-1))</f>
        <v/>
      </c>
      <c r="K7" s="31">
        <f>J7*(1+Assumptions!$C$10*POWER(Assumptions!$C$11,K2-1))</f>
        <v/>
      </c>
      <c r="L7" s="31">
        <f>K7*(1+Assumptions!$C$10*POWER(Assumptions!$C$11,L2-1))</f>
        <v/>
      </c>
      <c r="M7" s="31">
        <f>L7*(1+Assumptions!$C$10*POWER(Assumptions!$C$11,M2-1))</f>
        <v/>
      </c>
      <c r="N7" s="31">
        <f>M7*(1+Assumptions!$C$10*POWER(Assumptions!$C$11,N2-1))</f>
        <v/>
      </c>
      <c r="O7" s="31">
        <f>N7*(1+Assumptions!$C$10*POWER(Assumptions!$C$11,O2-1))</f>
        <v/>
      </c>
      <c r="P7" s="31">
        <f>O7*(1+Assumptions!$C$10*POWER(Assumptions!$C$11,P2-1))</f>
        <v/>
      </c>
      <c r="Q7" s="31">
        <f>P7*(1+Assumptions!$C$10*POWER(Assumptions!$C$11,Q2-1))</f>
        <v/>
      </c>
      <c r="R7" s="31">
        <f>Q7*(1+Assumptions!$C$10*POWER(Assumptions!$C$11,R2-1))</f>
        <v/>
      </c>
      <c r="S7" s="31">
        <f>R7*(1+Assumptions!$C$10*POWER(Assumptions!$C$11,S2-1))</f>
        <v/>
      </c>
      <c r="T7" s="31">
        <f>S7*(1+Assumptions!$C$10*POWER(Assumptions!$C$11,T2-1))</f>
        <v/>
      </c>
      <c r="U7" s="31">
        <f>T7*(1+Assumptions!$C$10*POWER(Assumptions!$C$11,U2-1))</f>
        <v/>
      </c>
      <c r="V7" s="31">
        <f>U7*(1+Assumptions!$C$10*POWER(Assumptions!$C$11,V2-1))</f>
        <v/>
      </c>
      <c r="W7" s="31">
        <f>V7*(1+Assumptions!$C$10*POWER(Assumptions!$C$11,W2-1))</f>
        <v/>
      </c>
      <c r="X7" s="31">
        <f>W7*(1+Assumptions!$C$10*POWER(Assumptions!$C$11,X2-1))</f>
        <v/>
      </c>
      <c r="Y7" s="31">
        <f>X7*(1+Assumptions!$C$10*POWER(Assumptions!$C$11,Y2-1))</f>
        <v/>
      </c>
      <c r="Z7" s="31">
        <f>Y7*(1+Assumptions!$C$10*POWER(Assumptions!$C$11,Z2-1))</f>
        <v/>
      </c>
      <c r="AA7" s="31">
        <f>Z7*(1+Assumptions!$C$10*POWER(Assumptions!$C$11,AA2-1))</f>
        <v/>
      </c>
      <c r="AB7" s="31">
        <f>AA7*(1+Assumptions!$C$10*POWER(Assumptions!$C$11,AB2-1))</f>
        <v/>
      </c>
      <c r="AC7" s="31">
        <f>AB7*(1+Assumptions!$C$10*POWER(Assumptions!$C$11,AC2-1))</f>
        <v/>
      </c>
      <c r="AD7" s="31">
        <f>AC7*(1+Assumptions!$C$10*POWER(Assumptions!$C$11,AD2-1))</f>
        <v/>
      </c>
      <c r="AE7" s="31">
        <f>AD7*(1+Assumptions!$C$10*POWER(Assumptions!$C$11,AE2-1))</f>
        <v/>
      </c>
      <c r="AF7" s="31">
        <f>AE7*(1+Assumptions!$C$10*POWER(Assumptions!$C$11,AF2-1))</f>
        <v/>
      </c>
      <c r="AG7" s="31">
        <f>AF7*(1+Assumptions!$C$10*POWER(Assumptions!$C$11,AG2-1))</f>
        <v/>
      </c>
      <c r="AH7" s="31">
        <f>AG7*(1+Assumptions!$C$10*POWER(Assumptions!$C$11,AH2-1))</f>
        <v/>
      </c>
      <c r="AI7" s="31">
        <f>AH7*(1+Assumptions!$C$10*POWER(Assumptions!$C$11,AI2-1))</f>
        <v/>
      </c>
      <c r="AJ7" s="31">
        <f>AI7*(1+Assumptions!$C$10*POWER(Assumptions!$C$11,AJ2-1))</f>
        <v/>
      </c>
      <c r="AK7" s="31">
        <f>AJ7*(1+Assumptions!$C$10*POWER(Assumptions!$C$11,AK2-1))</f>
        <v/>
      </c>
      <c r="AL7" s="31">
        <f>AK7*(1+Assumptions!$C$10*POWER(Assumptions!$C$11,AL2-1))</f>
        <v/>
      </c>
    </row>
    <row r="9">
      <c r="A9" t="inlineStr">
        <is>
          <t>[A] New supporter payers</t>
        </is>
      </c>
      <c r="C9" s="31">
        <f>C5*Assumptions!$C$12</f>
        <v/>
      </c>
      <c r="D9" s="31">
        <f>D5*Assumptions!$C$12</f>
        <v/>
      </c>
      <c r="E9" s="31">
        <f>E5*Assumptions!$C$12</f>
        <v/>
      </c>
      <c r="F9" s="31">
        <f>F5*Assumptions!$C$12</f>
        <v/>
      </c>
      <c r="G9" s="31">
        <f>G5*Assumptions!$C$12</f>
        <v/>
      </c>
      <c r="H9" s="31">
        <f>H5*Assumptions!$C$12</f>
        <v/>
      </c>
      <c r="I9" s="31">
        <f>I5*Assumptions!$C$12</f>
        <v/>
      </c>
      <c r="J9" s="31">
        <f>J5*Assumptions!$C$12</f>
        <v/>
      </c>
      <c r="K9" s="31">
        <f>K5*Assumptions!$C$12</f>
        <v/>
      </c>
      <c r="L9" s="31">
        <f>L5*Assumptions!$C$12</f>
        <v/>
      </c>
      <c r="M9" s="31">
        <f>M5*Assumptions!$C$12</f>
        <v/>
      </c>
      <c r="N9" s="31">
        <f>N5*Assumptions!$C$12</f>
        <v/>
      </c>
      <c r="O9" s="31">
        <f>O5*Assumptions!$C$12</f>
        <v/>
      </c>
      <c r="P9" s="31">
        <f>P5*Assumptions!$C$12</f>
        <v/>
      </c>
      <c r="Q9" s="31">
        <f>Q5*Assumptions!$C$12</f>
        <v/>
      </c>
      <c r="R9" s="31">
        <f>R5*Assumptions!$C$12</f>
        <v/>
      </c>
      <c r="S9" s="31">
        <f>S5*Assumptions!$C$12</f>
        <v/>
      </c>
      <c r="T9" s="31">
        <f>T5*Assumptions!$C$12</f>
        <v/>
      </c>
      <c r="U9" s="31">
        <f>U5*Assumptions!$C$12</f>
        <v/>
      </c>
      <c r="V9" s="31">
        <f>V5*Assumptions!$C$12</f>
        <v/>
      </c>
      <c r="W9" s="31">
        <f>W5*Assumptions!$C$12</f>
        <v/>
      </c>
      <c r="X9" s="31">
        <f>X5*Assumptions!$C$12</f>
        <v/>
      </c>
      <c r="Y9" s="31">
        <f>Y5*Assumptions!$C$12</f>
        <v/>
      </c>
      <c r="Z9" s="31">
        <f>Z5*Assumptions!$C$12</f>
        <v/>
      </c>
      <c r="AA9" s="31">
        <f>AA5*Assumptions!$C$12</f>
        <v/>
      </c>
      <c r="AB9" s="31">
        <f>AB5*Assumptions!$C$12</f>
        <v/>
      </c>
      <c r="AC9" s="31">
        <f>AC5*Assumptions!$C$12</f>
        <v/>
      </c>
      <c r="AD9" s="31">
        <f>AD5*Assumptions!$C$12</f>
        <v/>
      </c>
      <c r="AE9" s="31">
        <f>AE5*Assumptions!$C$12</f>
        <v/>
      </c>
      <c r="AF9" s="31">
        <f>AF5*Assumptions!$C$12</f>
        <v/>
      </c>
      <c r="AG9" s="31">
        <f>AG5*Assumptions!$C$12</f>
        <v/>
      </c>
      <c r="AH9" s="31">
        <f>AH5*Assumptions!$C$12</f>
        <v/>
      </c>
      <c r="AI9" s="31">
        <f>AI5*Assumptions!$C$12</f>
        <v/>
      </c>
      <c r="AJ9" s="31">
        <f>AJ5*Assumptions!$C$12</f>
        <v/>
      </c>
      <c r="AK9" s="31">
        <f>AK5*Assumptions!$C$12</f>
        <v/>
      </c>
      <c r="AL9" s="31">
        <f>AL5*Assumptions!$C$12</f>
        <v/>
      </c>
    </row>
    <row r="10">
      <c r="A10" t="inlineStr">
        <is>
          <t>[A] Supporter revenue</t>
        </is>
      </c>
      <c r="C10" s="32">
        <f>C9*Assumptions!$C$13</f>
        <v/>
      </c>
      <c r="D10" s="32">
        <f>D9*Assumptions!$C$13</f>
        <v/>
      </c>
      <c r="E10" s="32">
        <f>E9*Assumptions!$C$13</f>
        <v/>
      </c>
      <c r="F10" s="32">
        <f>F9*Assumptions!$C$13</f>
        <v/>
      </c>
      <c r="G10" s="32">
        <f>G9*Assumptions!$C$13</f>
        <v/>
      </c>
      <c r="H10" s="32">
        <f>H9*Assumptions!$C$13</f>
        <v/>
      </c>
      <c r="I10" s="32">
        <f>I9*Assumptions!$C$13</f>
        <v/>
      </c>
      <c r="J10" s="32">
        <f>J9*Assumptions!$C$13</f>
        <v/>
      </c>
      <c r="K10" s="32">
        <f>K9*Assumptions!$C$13</f>
        <v/>
      </c>
      <c r="L10" s="32">
        <f>L9*Assumptions!$C$13</f>
        <v/>
      </c>
      <c r="M10" s="32">
        <f>M9*Assumptions!$C$13</f>
        <v/>
      </c>
      <c r="N10" s="32">
        <f>N9*Assumptions!$C$13</f>
        <v/>
      </c>
      <c r="O10" s="32">
        <f>O9*Assumptions!$C$13</f>
        <v/>
      </c>
      <c r="P10" s="32">
        <f>P9*Assumptions!$C$13</f>
        <v/>
      </c>
      <c r="Q10" s="32">
        <f>Q9*Assumptions!$C$13</f>
        <v/>
      </c>
      <c r="R10" s="32">
        <f>R9*Assumptions!$C$13</f>
        <v/>
      </c>
      <c r="S10" s="32">
        <f>S9*Assumptions!$C$13</f>
        <v/>
      </c>
      <c r="T10" s="32">
        <f>T9*Assumptions!$C$13</f>
        <v/>
      </c>
      <c r="U10" s="32">
        <f>U9*Assumptions!$C$13</f>
        <v/>
      </c>
      <c r="V10" s="32">
        <f>V9*Assumptions!$C$13</f>
        <v/>
      </c>
      <c r="W10" s="32">
        <f>W9*Assumptions!$C$13</f>
        <v/>
      </c>
      <c r="X10" s="32">
        <f>X9*Assumptions!$C$13</f>
        <v/>
      </c>
      <c r="Y10" s="32">
        <f>Y9*Assumptions!$C$13</f>
        <v/>
      </c>
      <c r="Z10" s="32">
        <f>Z9*Assumptions!$C$13</f>
        <v/>
      </c>
      <c r="AA10" s="32">
        <f>AA9*Assumptions!$C$13</f>
        <v/>
      </c>
      <c r="AB10" s="32">
        <f>AB9*Assumptions!$C$13</f>
        <v/>
      </c>
      <c r="AC10" s="32">
        <f>AC9*Assumptions!$C$13</f>
        <v/>
      </c>
      <c r="AD10" s="32">
        <f>AD9*Assumptions!$C$13</f>
        <v/>
      </c>
      <c r="AE10" s="32">
        <f>AE9*Assumptions!$C$13</f>
        <v/>
      </c>
      <c r="AF10" s="32">
        <f>AF9*Assumptions!$C$13</f>
        <v/>
      </c>
      <c r="AG10" s="32">
        <f>AG9*Assumptions!$C$13</f>
        <v/>
      </c>
      <c r="AH10" s="32">
        <f>AH9*Assumptions!$C$13</f>
        <v/>
      </c>
      <c r="AI10" s="32">
        <f>AI9*Assumptions!$C$13</f>
        <v/>
      </c>
      <c r="AJ10" s="32">
        <f>AJ9*Assumptions!$C$13</f>
        <v/>
      </c>
      <c r="AK10" s="32">
        <f>AK9*Assumptions!$C$13</f>
        <v/>
      </c>
      <c r="AL10" s="32">
        <f>AL9*Assumptions!$C$13</f>
        <v/>
      </c>
    </row>
    <row r="12">
      <c r="A12" t="inlineStr">
        <is>
          <t>[B] Pro trials</t>
        </is>
      </c>
      <c r="C12" s="31">
        <f>IF(C2&gt;=Assumptions!$C$15,C5*Assumptions!$C$16,0)</f>
        <v/>
      </c>
      <c r="D12" s="31">
        <f>IF(D2&gt;=Assumptions!$C$15,D5*Assumptions!$C$16,0)</f>
        <v/>
      </c>
      <c r="E12" s="31">
        <f>IF(E2&gt;=Assumptions!$C$15,E5*Assumptions!$C$16,0)</f>
        <v/>
      </c>
      <c r="F12" s="31">
        <f>IF(F2&gt;=Assumptions!$C$15,F5*Assumptions!$C$16,0)</f>
        <v/>
      </c>
      <c r="G12" s="31">
        <f>IF(G2&gt;=Assumptions!$C$15,G5*Assumptions!$C$16,0)</f>
        <v/>
      </c>
      <c r="H12" s="31">
        <f>IF(H2&gt;=Assumptions!$C$15,H5*Assumptions!$C$16,0)</f>
        <v/>
      </c>
      <c r="I12" s="31">
        <f>IF(I2&gt;=Assumptions!$C$15,I5*Assumptions!$C$16,0)</f>
        <v/>
      </c>
      <c r="J12" s="31">
        <f>IF(J2&gt;=Assumptions!$C$15,J5*Assumptions!$C$16,0)</f>
        <v/>
      </c>
      <c r="K12" s="31">
        <f>IF(K2&gt;=Assumptions!$C$15,K5*Assumptions!$C$16,0)</f>
        <v/>
      </c>
      <c r="L12" s="31">
        <f>IF(L2&gt;=Assumptions!$C$15,L5*Assumptions!$C$16,0)</f>
        <v/>
      </c>
      <c r="M12" s="31">
        <f>IF(M2&gt;=Assumptions!$C$15,M5*Assumptions!$C$16,0)</f>
        <v/>
      </c>
      <c r="N12" s="31">
        <f>IF(N2&gt;=Assumptions!$C$15,N5*Assumptions!$C$16,0)</f>
        <v/>
      </c>
      <c r="O12" s="31">
        <f>IF(O2&gt;=Assumptions!$C$15,O5*Assumptions!$C$16,0)</f>
        <v/>
      </c>
      <c r="P12" s="31">
        <f>IF(P2&gt;=Assumptions!$C$15,P5*Assumptions!$C$16,0)</f>
        <v/>
      </c>
      <c r="Q12" s="31">
        <f>IF(Q2&gt;=Assumptions!$C$15,Q5*Assumptions!$C$16,0)</f>
        <v/>
      </c>
      <c r="R12" s="31">
        <f>IF(R2&gt;=Assumptions!$C$15,R5*Assumptions!$C$16,0)</f>
        <v/>
      </c>
      <c r="S12" s="31">
        <f>IF(S2&gt;=Assumptions!$C$15,S5*Assumptions!$C$16,0)</f>
        <v/>
      </c>
      <c r="T12" s="31">
        <f>IF(T2&gt;=Assumptions!$C$15,T5*Assumptions!$C$16,0)</f>
        <v/>
      </c>
      <c r="U12" s="31">
        <f>IF(U2&gt;=Assumptions!$C$15,U5*Assumptions!$C$16,0)</f>
        <v/>
      </c>
      <c r="V12" s="31">
        <f>IF(V2&gt;=Assumptions!$C$15,V5*Assumptions!$C$16,0)</f>
        <v/>
      </c>
      <c r="W12" s="31">
        <f>IF(W2&gt;=Assumptions!$C$15,W5*Assumptions!$C$16,0)</f>
        <v/>
      </c>
      <c r="X12" s="31">
        <f>IF(X2&gt;=Assumptions!$C$15,X5*Assumptions!$C$16,0)</f>
        <v/>
      </c>
      <c r="Y12" s="31">
        <f>IF(Y2&gt;=Assumptions!$C$15,Y5*Assumptions!$C$16,0)</f>
        <v/>
      </c>
      <c r="Z12" s="31">
        <f>IF(Z2&gt;=Assumptions!$C$15,Z5*Assumptions!$C$16,0)</f>
        <v/>
      </c>
      <c r="AA12" s="31">
        <f>IF(AA2&gt;=Assumptions!$C$15,AA5*Assumptions!$C$16,0)</f>
        <v/>
      </c>
      <c r="AB12" s="31">
        <f>IF(AB2&gt;=Assumptions!$C$15,AB5*Assumptions!$C$16,0)</f>
        <v/>
      </c>
      <c r="AC12" s="31">
        <f>IF(AC2&gt;=Assumptions!$C$15,AC5*Assumptions!$C$16,0)</f>
        <v/>
      </c>
      <c r="AD12" s="31">
        <f>IF(AD2&gt;=Assumptions!$C$15,AD5*Assumptions!$C$16,0)</f>
        <v/>
      </c>
      <c r="AE12" s="31">
        <f>IF(AE2&gt;=Assumptions!$C$15,AE5*Assumptions!$C$16,0)</f>
        <v/>
      </c>
      <c r="AF12" s="31">
        <f>IF(AF2&gt;=Assumptions!$C$15,AF5*Assumptions!$C$16,0)</f>
        <v/>
      </c>
      <c r="AG12" s="31">
        <f>IF(AG2&gt;=Assumptions!$C$15,AG5*Assumptions!$C$16,0)</f>
        <v/>
      </c>
      <c r="AH12" s="31">
        <f>IF(AH2&gt;=Assumptions!$C$15,AH5*Assumptions!$C$16,0)</f>
        <v/>
      </c>
      <c r="AI12" s="31">
        <f>IF(AI2&gt;=Assumptions!$C$15,AI5*Assumptions!$C$16,0)</f>
        <v/>
      </c>
      <c r="AJ12" s="31">
        <f>IF(AJ2&gt;=Assumptions!$C$15,AJ5*Assumptions!$C$16,0)</f>
        <v/>
      </c>
      <c r="AK12" s="31">
        <f>IF(AK2&gt;=Assumptions!$C$15,AK5*Assumptions!$C$16,0)</f>
        <v/>
      </c>
      <c r="AL12" s="31">
        <f>IF(AL2&gt;=Assumptions!$C$15,AL5*Assumptions!$C$16,0)</f>
        <v/>
      </c>
    </row>
    <row r="13">
      <c r="A13" t="inlineStr">
        <is>
          <t>[B] New paid seats</t>
        </is>
      </c>
      <c r="C13" s="31">
        <f>C12*Assumptions!$C$17</f>
        <v/>
      </c>
      <c r="D13" s="31">
        <f>D12*Assumptions!$C$17</f>
        <v/>
      </c>
      <c r="E13" s="31">
        <f>E12*Assumptions!$C$17</f>
        <v/>
      </c>
      <c r="F13" s="31">
        <f>F12*Assumptions!$C$17</f>
        <v/>
      </c>
      <c r="G13" s="31">
        <f>G12*Assumptions!$C$17</f>
        <v/>
      </c>
      <c r="H13" s="31">
        <f>H12*Assumptions!$C$17</f>
        <v/>
      </c>
      <c r="I13" s="31">
        <f>I12*Assumptions!$C$17</f>
        <v/>
      </c>
      <c r="J13" s="31">
        <f>J12*Assumptions!$C$17</f>
        <v/>
      </c>
      <c r="K13" s="31">
        <f>K12*Assumptions!$C$17</f>
        <v/>
      </c>
      <c r="L13" s="31">
        <f>L12*Assumptions!$C$17</f>
        <v/>
      </c>
      <c r="M13" s="31">
        <f>M12*Assumptions!$C$17</f>
        <v/>
      </c>
      <c r="N13" s="31">
        <f>N12*Assumptions!$C$17</f>
        <v/>
      </c>
      <c r="O13" s="31">
        <f>O12*Assumptions!$C$17</f>
        <v/>
      </c>
      <c r="P13" s="31">
        <f>P12*Assumptions!$C$17</f>
        <v/>
      </c>
      <c r="Q13" s="31">
        <f>Q12*Assumptions!$C$17</f>
        <v/>
      </c>
      <c r="R13" s="31">
        <f>R12*Assumptions!$C$17</f>
        <v/>
      </c>
      <c r="S13" s="31">
        <f>S12*Assumptions!$C$17</f>
        <v/>
      </c>
      <c r="T13" s="31">
        <f>T12*Assumptions!$C$17</f>
        <v/>
      </c>
      <c r="U13" s="31">
        <f>U12*Assumptions!$C$17</f>
        <v/>
      </c>
      <c r="V13" s="31">
        <f>V12*Assumptions!$C$17</f>
        <v/>
      </c>
      <c r="W13" s="31">
        <f>W12*Assumptions!$C$17</f>
        <v/>
      </c>
      <c r="X13" s="31">
        <f>X12*Assumptions!$C$17</f>
        <v/>
      </c>
      <c r="Y13" s="31">
        <f>Y12*Assumptions!$C$17</f>
        <v/>
      </c>
      <c r="Z13" s="31">
        <f>Z12*Assumptions!$C$17</f>
        <v/>
      </c>
      <c r="AA13" s="31">
        <f>AA12*Assumptions!$C$17</f>
        <v/>
      </c>
      <c r="AB13" s="31">
        <f>AB12*Assumptions!$C$17</f>
        <v/>
      </c>
      <c r="AC13" s="31">
        <f>AC12*Assumptions!$C$17</f>
        <v/>
      </c>
      <c r="AD13" s="31">
        <f>AD12*Assumptions!$C$17</f>
        <v/>
      </c>
      <c r="AE13" s="31">
        <f>AE12*Assumptions!$C$17</f>
        <v/>
      </c>
      <c r="AF13" s="31">
        <f>AF12*Assumptions!$C$17</f>
        <v/>
      </c>
      <c r="AG13" s="31">
        <f>AG12*Assumptions!$C$17</f>
        <v/>
      </c>
      <c r="AH13" s="31">
        <f>AH12*Assumptions!$C$17</f>
        <v/>
      </c>
      <c r="AI13" s="31">
        <f>AI12*Assumptions!$C$17</f>
        <v/>
      </c>
      <c r="AJ13" s="31">
        <f>AJ12*Assumptions!$C$17</f>
        <v/>
      </c>
      <c r="AK13" s="31">
        <f>AK12*Assumptions!$C$17</f>
        <v/>
      </c>
      <c r="AL13" s="31">
        <f>AL12*Assumptions!$C$17</f>
        <v/>
      </c>
    </row>
    <row r="14">
      <c r="A14" t="inlineStr">
        <is>
          <t>[B] Active paid seats</t>
        </is>
      </c>
      <c r="C14" s="31">
        <f>C13</f>
        <v/>
      </c>
      <c r="D14" s="31">
        <f>C14*(1-Assumptions!$C$19)+D13</f>
        <v/>
      </c>
      <c r="E14" s="31">
        <f>D14*(1-Assumptions!$C$19)+E13</f>
        <v/>
      </c>
      <c r="F14" s="31">
        <f>E14*(1-Assumptions!$C$19)+F13</f>
        <v/>
      </c>
      <c r="G14" s="31">
        <f>F14*(1-Assumptions!$C$19)+G13</f>
        <v/>
      </c>
      <c r="H14" s="31">
        <f>G14*(1-Assumptions!$C$19)+H13</f>
        <v/>
      </c>
      <c r="I14" s="31">
        <f>H14*(1-Assumptions!$C$19)+I13</f>
        <v/>
      </c>
      <c r="J14" s="31">
        <f>I14*(1-Assumptions!$C$19)+J13</f>
        <v/>
      </c>
      <c r="K14" s="31">
        <f>J14*(1-Assumptions!$C$19)+K13</f>
        <v/>
      </c>
      <c r="L14" s="31">
        <f>K14*(1-Assumptions!$C$19)+L13</f>
        <v/>
      </c>
      <c r="M14" s="31">
        <f>L14*(1-Assumptions!$C$19)+M13</f>
        <v/>
      </c>
      <c r="N14" s="31">
        <f>M14*(1-Assumptions!$C$19)+N13</f>
        <v/>
      </c>
      <c r="O14" s="31">
        <f>N14*(1-Assumptions!$C$19)+O13</f>
        <v/>
      </c>
      <c r="P14" s="31">
        <f>O14*(1-Assumptions!$C$19)+P13</f>
        <v/>
      </c>
      <c r="Q14" s="31">
        <f>P14*(1-Assumptions!$C$19)+Q13</f>
        <v/>
      </c>
      <c r="R14" s="31">
        <f>Q14*(1-Assumptions!$C$19)+R13</f>
        <v/>
      </c>
      <c r="S14" s="31">
        <f>R14*(1-Assumptions!$C$19)+S13</f>
        <v/>
      </c>
      <c r="T14" s="31">
        <f>S14*(1-Assumptions!$C$19)+T13</f>
        <v/>
      </c>
      <c r="U14" s="31">
        <f>T14*(1-Assumptions!$C$19)+U13</f>
        <v/>
      </c>
      <c r="V14" s="31">
        <f>U14*(1-Assumptions!$C$19)+V13</f>
        <v/>
      </c>
      <c r="W14" s="31">
        <f>V14*(1-Assumptions!$C$19)+W13</f>
        <v/>
      </c>
      <c r="X14" s="31">
        <f>W14*(1-Assumptions!$C$19)+X13</f>
        <v/>
      </c>
      <c r="Y14" s="31">
        <f>X14*(1-Assumptions!$C$19)+Y13</f>
        <v/>
      </c>
      <c r="Z14" s="31">
        <f>Y14*(1-Assumptions!$C$19)+Z13</f>
        <v/>
      </c>
      <c r="AA14" s="31">
        <f>Z14*(1-Assumptions!$C$19)+AA13</f>
        <v/>
      </c>
      <c r="AB14" s="31">
        <f>AA14*(1-Assumptions!$C$19)+AB13</f>
        <v/>
      </c>
      <c r="AC14" s="31">
        <f>AB14*(1-Assumptions!$C$19)+AC13</f>
        <v/>
      </c>
      <c r="AD14" s="31">
        <f>AC14*(1-Assumptions!$C$19)+AD13</f>
        <v/>
      </c>
      <c r="AE14" s="31">
        <f>AD14*(1-Assumptions!$C$19)+AE13</f>
        <v/>
      </c>
      <c r="AF14" s="31">
        <f>AE14*(1-Assumptions!$C$19)+AF13</f>
        <v/>
      </c>
      <c r="AG14" s="31">
        <f>AF14*(1-Assumptions!$C$19)+AG13</f>
        <v/>
      </c>
      <c r="AH14" s="31">
        <f>AG14*(1-Assumptions!$C$19)+AH13</f>
        <v/>
      </c>
      <c r="AI14" s="31">
        <f>AH14*(1-Assumptions!$C$19)+AI13</f>
        <v/>
      </c>
      <c r="AJ14" s="31">
        <f>AI14*(1-Assumptions!$C$19)+AJ13</f>
        <v/>
      </c>
      <c r="AK14" s="31">
        <f>AJ14*(1-Assumptions!$C$19)+AK13</f>
        <v/>
      </c>
      <c r="AL14" s="31">
        <f>AK14*(1-Assumptions!$C$19)+AL13</f>
        <v/>
      </c>
    </row>
    <row r="15">
      <c r="A15" t="inlineStr">
        <is>
          <t>[B] Pro MRR</t>
        </is>
      </c>
      <c r="C15" s="32">
        <f>C14*Assumptions!$C$18</f>
        <v/>
      </c>
      <c r="D15" s="32">
        <f>D14*Assumptions!$C$18</f>
        <v/>
      </c>
      <c r="E15" s="32">
        <f>E14*Assumptions!$C$18</f>
        <v/>
      </c>
      <c r="F15" s="32">
        <f>F14*Assumptions!$C$18</f>
        <v/>
      </c>
      <c r="G15" s="32">
        <f>G14*Assumptions!$C$18</f>
        <v/>
      </c>
      <c r="H15" s="32">
        <f>H14*Assumptions!$C$18</f>
        <v/>
      </c>
      <c r="I15" s="32">
        <f>I14*Assumptions!$C$18</f>
        <v/>
      </c>
      <c r="J15" s="32">
        <f>J14*Assumptions!$C$18</f>
        <v/>
      </c>
      <c r="K15" s="32">
        <f>K14*Assumptions!$C$18</f>
        <v/>
      </c>
      <c r="L15" s="32">
        <f>L14*Assumptions!$C$18</f>
        <v/>
      </c>
      <c r="M15" s="32">
        <f>M14*Assumptions!$C$18</f>
        <v/>
      </c>
      <c r="N15" s="32">
        <f>N14*Assumptions!$C$18</f>
        <v/>
      </c>
      <c r="O15" s="32">
        <f>O14*Assumptions!$C$18</f>
        <v/>
      </c>
      <c r="P15" s="32">
        <f>P14*Assumptions!$C$18</f>
        <v/>
      </c>
      <c r="Q15" s="32">
        <f>Q14*Assumptions!$C$18</f>
        <v/>
      </c>
      <c r="R15" s="32">
        <f>R14*Assumptions!$C$18</f>
        <v/>
      </c>
      <c r="S15" s="32">
        <f>S14*Assumptions!$C$18</f>
        <v/>
      </c>
      <c r="T15" s="32">
        <f>T14*Assumptions!$C$18</f>
        <v/>
      </c>
      <c r="U15" s="32">
        <f>U14*Assumptions!$C$18</f>
        <v/>
      </c>
      <c r="V15" s="32">
        <f>V14*Assumptions!$C$18</f>
        <v/>
      </c>
      <c r="W15" s="32">
        <f>W14*Assumptions!$C$18</f>
        <v/>
      </c>
      <c r="X15" s="32">
        <f>X14*Assumptions!$C$18</f>
        <v/>
      </c>
      <c r="Y15" s="32">
        <f>Y14*Assumptions!$C$18</f>
        <v/>
      </c>
      <c r="Z15" s="32">
        <f>Z14*Assumptions!$C$18</f>
        <v/>
      </c>
      <c r="AA15" s="32">
        <f>AA14*Assumptions!$C$18</f>
        <v/>
      </c>
      <c r="AB15" s="32">
        <f>AB14*Assumptions!$C$18</f>
        <v/>
      </c>
      <c r="AC15" s="32">
        <f>AC14*Assumptions!$C$18</f>
        <v/>
      </c>
      <c r="AD15" s="32">
        <f>AD14*Assumptions!$C$18</f>
        <v/>
      </c>
      <c r="AE15" s="32">
        <f>AE14*Assumptions!$C$18</f>
        <v/>
      </c>
      <c r="AF15" s="32">
        <f>AF14*Assumptions!$C$18</f>
        <v/>
      </c>
      <c r="AG15" s="32">
        <f>AG14*Assumptions!$C$18</f>
        <v/>
      </c>
      <c r="AH15" s="32">
        <f>AH14*Assumptions!$C$18</f>
        <v/>
      </c>
      <c r="AI15" s="32">
        <f>AI14*Assumptions!$C$18</f>
        <v/>
      </c>
      <c r="AJ15" s="32">
        <f>AJ14*Assumptions!$C$18</f>
        <v/>
      </c>
      <c r="AK15" s="32">
        <f>AK14*Assumptions!$C$18</f>
        <v/>
      </c>
      <c r="AL15" s="32">
        <f>AL14*Assumptions!$C$18</f>
        <v/>
      </c>
    </row>
    <row r="17">
      <c r="A17" t="inlineStr">
        <is>
          <t>[C] Cloud MRR</t>
        </is>
      </c>
      <c r="C17" s="32">
        <f>IF(C2&gt;=Assumptions!$C$21,C14*Assumptions!$C$22*Assumptions!$C$23,0)</f>
        <v/>
      </c>
      <c r="D17" s="32">
        <f>IF(D2&gt;=Assumptions!$C$21,D14*Assumptions!$C$22*Assumptions!$C$23,0)</f>
        <v/>
      </c>
      <c r="E17" s="32">
        <f>IF(E2&gt;=Assumptions!$C$21,E14*Assumptions!$C$22*Assumptions!$C$23,0)</f>
        <v/>
      </c>
      <c r="F17" s="32">
        <f>IF(F2&gt;=Assumptions!$C$21,F14*Assumptions!$C$22*Assumptions!$C$23,0)</f>
        <v/>
      </c>
      <c r="G17" s="32">
        <f>IF(G2&gt;=Assumptions!$C$21,G14*Assumptions!$C$22*Assumptions!$C$23,0)</f>
        <v/>
      </c>
      <c r="H17" s="32">
        <f>IF(H2&gt;=Assumptions!$C$21,H14*Assumptions!$C$22*Assumptions!$C$23,0)</f>
        <v/>
      </c>
      <c r="I17" s="32">
        <f>IF(I2&gt;=Assumptions!$C$21,I14*Assumptions!$C$22*Assumptions!$C$23,0)</f>
        <v/>
      </c>
      <c r="J17" s="32">
        <f>IF(J2&gt;=Assumptions!$C$21,J14*Assumptions!$C$22*Assumptions!$C$23,0)</f>
        <v/>
      </c>
      <c r="K17" s="32">
        <f>IF(K2&gt;=Assumptions!$C$21,K14*Assumptions!$C$22*Assumptions!$C$23,0)</f>
        <v/>
      </c>
      <c r="L17" s="32">
        <f>IF(L2&gt;=Assumptions!$C$21,L14*Assumptions!$C$22*Assumptions!$C$23,0)</f>
        <v/>
      </c>
      <c r="M17" s="32">
        <f>IF(M2&gt;=Assumptions!$C$21,M14*Assumptions!$C$22*Assumptions!$C$23,0)</f>
        <v/>
      </c>
      <c r="N17" s="32">
        <f>IF(N2&gt;=Assumptions!$C$21,N14*Assumptions!$C$22*Assumptions!$C$23,0)</f>
        <v/>
      </c>
      <c r="O17" s="32">
        <f>IF(O2&gt;=Assumptions!$C$21,O14*Assumptions!$C$22*Assumptions!$C$23,0)</f>
        <v/>
      </c>
      <c r="P17" s="32">
        <f>IF(P2&gt;=Assumptions!$C$21,P14*Assumptions!$C$22*Assumptions!$C$23,0)</f>
        <v/>
      </c>
      <c r="Q17" s="32">
        <f>IF(Q2&gt;=Assumptions!$C$21,Q14*Assumptions!$C$22*Assumptions!$C$23,0)</f>
        <v/>
      </c>
      <c r="R17" s="32">
        <f>IF(R2&gt;=Assumptions!$C$21,R14*Assumptions!$C$22*Assumptions!$C$23,0)</f>
        <v/>
      </c>
      <c r="S17" s="32">
        <f>IF(S2&gt;=Assumptions!$C$21,S14*Assumptions!$C$22*Assumptions!$C$23,0)</f>
        <v/>
      </c>
      <c r="T17" s="32">
        <f>IF(T2&gt;=Assumptions!$C$21,T14*Assumptions!$C$22*Assumptions!$C$23,0)</f>
        <v/>
      </c>
      <c r="U17" s="32">
        <f>IF(U2&gt;=Assumptions!$C$21,U14*Assumptions!$C$22*Assumptions!$C$23,0)</f>
        <v/>
      </c>
      <c r="V17" s="32">
        <f>IF(V2&gt;=Assumptions!$C$21,V14*Assumptions!$C$22*Assumptions!$C$23,0)</f>
        <v/>
      </c>
      <c r="W17" s="32">
        <f>IF(W2&gt;=Assumptions!$C$21,W14*Assumptions!$C$22*Assumptions!$C$23,0)</f>
        <v/>
      </c>
      <c r="X17" s="32">
        <f>IF(X2&gt;=Assumptions!$C$21,X14*Assumptions!$C$22*Assumptions!$C$23,0)</f>
        <v/>
      </c>
      <c r="Y17" s="32">
        <f>IF(Y2&gt;=Assumptions!$C$21,Y14*Assumptions!$C$22*Assumptions!$C$23,0)</f>
        <v/>
      </c>
      <c r="Z17" s="32">
        <f>IF(Z2&gt;=Assumptions!$C$21,Z14*Assumptions!$C$22*Assumptions!$C$23,0)</f>
        <v/>
      </c>
      <c r="AA17" s="32">
        <f>IF(AA2&gt;=Assumptions!$C$21,AA14*Assumptions!$C$22*Assumptions!$C$23,0)</f>
        <v/>
      </c>
      <c r="AB17" s="32">
        <f>IF(AB2&gt;=Assumptions!$C$21,AB14*Assumptions!$C$22*Assumptions!$C$23,0)</f>
        <v/>
      </c>
      <c r="AC17" s="32">
        <f>IF(AC2&gt;=Assumptions!$C$21,AC14*Assumptions!$C$22*Assumptions!$C$23,0)</f>
        <v/>
      </c>
      <c r="AD17" s="32">
        <f>IF(AD2&gt;=Assumptions!$C$21,AD14*Assumptions!$C$22*Assumptions!$C$23,0)</f>
        <v/>
      </c>
      <c r="AE17" s="32">
        <f>IF(AE2&gt;=Assumptions!$C$21,AE14*Assumptions!$C$22*Assumptions!$C$23,0)</f>
        <v/>
      </c>
      <c r="AF17" s="32">
        <f>IF(AF2&gt;=Assumptions!$C$21,AF14*Assumptions!$C$22*Assumptions!$C$23,0)</f>
        <v/>
      </c>
      <c r="AG17" s="32">
        <f>IF(AG2&gt;=Assumptions!$C$21,AG14*Assumptions!$C$22*Assumptions!$C$23,0)</f>
        <v/>
      </c>
      <c r="AH17" s="32">
        <f>IF(AH2&gt;=Assumptions!$C$21,AH14*Assumptions!$C$22*Assumptions!$C$23,0)</f>
        <v/>
      </c>
      <c r="AI17" s="32">
        <f>IF(AI2&gt;=Assumptions!$C$21,AI14*Assumptions!$C$22*Assumptions!$C$23,0)</f>
        <v/>
      </c>
      <c r="AJ17" s="32">
        <f>IF(AJ2&gt;=Assumptions!$C$21,AJ14*Assumptions!$C$22*Assumptions!$C$23,0)</f>
        <v/>
      </c>
      <c r="AK17" s="32">
        <f>IF(AK2&gt;=Assumptions!$C$21,AK14*Assumptions!$C$22*Assumptions!$C$23,0)</f>
        <v/>
      </c>
      <c r="AL17" s="32">
        <f>IF(AL2&gt;=Assumptions!$C$21,AL14*Assumptions!$C$22*Assumptions!$C$23,0)</f>
        <v/>
      </c>
    </row>
    <row r="19">
      <c r="A19" t="inlineStr">
        <is>
          <t>[E] New community members</t>
        </is>
      </c>
      <c r="C19" s="31">
        <f>C6*Assumptions!$C$25</f>
        <v/>
      </c>
      <c r="D19" s="31">
        <f>D6*Assumptions!$C$25</f>
        <v/>
      </c>
      <c r="E19" s="31">
        <f>E6*Assumptions!$C$25</f>
        <v/>
      </c>
      <c r="F19" s="31">
        <f>F6*Assumptions!$C$25</f>
        <v/>
      </c>
      <c r="G19" s="31">
        <f>G6*Assumptions!$C$25</f>
        <v/>
      </c>
      <c r="H19" s="31">
        <f>H6*Assumptions!$C$25</f>
        <v/>
      </c>
      <c r="I19" s="31">
        <f>I6*Assumptions!$C$25</f>
        <v/>
      </c>
      <c r="J19" s="31">
        <f>J6*Assumptions!$C$25</f>
        <v/>
      </c>
      <c r="K19" s="31">
        <f>K6*Assumptions!$C$25</f>
        <v/>
      </c>
      <c r="L19" s="31">
        <f>L6*Assumptions!$C$25</f>
        <v/>
      </c>
      <c r="M19" s="31">
        <f>M6*Assumptions!$C$25</f>
        <v/>
      </c>
      <c r="N19" s="31">
        <f>N6*Assumptions!$C$25</f>
        <v/>
      </c>
      <c r="O19" s="31">
        <f>O6*Assumptions!$C$25</f>
        <v/>
      </c>
      <c r="P19" s="31">
        <f>P6*Assumptions!$C$25</f>
        <v/>
      </c>
      <c r="Q19" s="31">
        <f>Q6*Assumptions!$C$25</f>
        <v/>
      </c>
      <c r="R19" s="31">
        <f>R6*Assumptions!$C$25</f>
        <v/>
      </c>
      <c r="S19" s="31">
        <f>S6*Assumptions!$C$25</f>
        <v/>
      </c>
      <c r="T19" s="31">
        <f>T6*Assumptions!$C$25</f>
        <v/>
      </c>
      <c r="U19" s="31">
        <f>U6*Assumptions!$C$25</f>
        <v/>
      </c>
      <c r="V19" s="31">
        <f>V6*Assumptions!$C$25</f>
        <v/>
      </c>
      <c r="W19" s="31">
        <f>W6*Assumptions!$C$25</f>
        <v/>
      </c>
      <c r="X19" s="31">
        <f>X6*Assumptions!$C$25</f>
        <v/>
      </c>
      <c r="Y19" s="31">
        <f>Y6*Assumptions!$C$25</f>
        <v/>
      </c>
      <c r="Z19" s="31">
        <f>Z6*Assumptions!$C$25</f>
        <v/>
      </c>
      <c r="AA19" s="31">
        <f>AA6*Assumptions!$C$25</f>
        <v/>
      </c>
      <c r="AB19" s="31">
        <f>AB6*Assumptions!$C$25</f>
        <v/>
      </c>
      <c r="AC19" s="31">
        <f>AC6*Assumptions!$C$25</f>
        <v/>
      </c>
      <c r="AD19" s="31">
        <f>AD6*Assumptions!$C$25</f>
        <v/>
      </c>
      <c r="AE19" s="31">
        <f>AE6*Assumptions!$C$25</f>
        <v/>
      </c>
      <c r="AF19" s="31">
        <f>AF6*Assumptions!$C$25</f>
        <v/>
      </c>
      <c r="AG19" s="31">
        <f>AG6*Assumptions!$C$25</f>
        <v/>
      </c>
      <c r="AH19" s="31">
        <f>AH6*Assumptions!$C$25</f>
        <v/>
      </c>
      <c r="AI19" s="31">
        <f>AI6*Assumptions!$C$25</f>
        <v/>
      </c>
      <c r="AJ19" s="31">
        <f>AJ6*Assumptions!$C$25</f>
        <v/>
      </c>
      <c r="AK19" s="31">
        <f>AK6*Assumptions!$C$25</f>
        <v/>
      </c>
      <c r="AL19" s="31">
        <f>AL6*Assumptions!$C$25</f>
        <v/>
      </c>
    </row>
    <row r="20">
      <c r="A20" t="inlineStr">
        <is>
          <t>[E] Active community</t>
        </is>
      </c>
      <c r="C20" s="31">
        <f>C19</f>
        <v/>
      </c>
      <c r="D20" s="31">
        <f>C20*(1-Assumptions!$C$27)+D19</f>
        <v/>
      </c>
      <c r="E20" s="31">
        <f>D20*(1-Assumptions!$C$27)+E19</f>
        <v/>
      </c>
      <c r="F20" s="31">
        <f>E20*(1-Assumptions!$C$27)+F19</f>
        <v/>
      </c>
      <c r="G20" s="31">
        <f>F20*(1-Assumptions!$C$27)+G19</f>
        <v/>
      </c>
      <c r="H20" s="31">
        <f>G20*(1-Assumptions!$C$27)+H19</f>
        <v/>
      </c>
      <c r="I20" s="31">
        <f>H20*(1-Assumptions!$C$27)+I19</f>
        <v/>
      </c>
      <c r="J20" s="31">
        <f>I20*(1-Assumptions!$C$27)+J19</f>
        <v/>
      </c>
      <c r="K20" s="31">
        <f>J20*(1-Assumptions!$C$27)+K19</f>
        <v/>
      </c>
      <c r="L20" s="31">
        <f>K20*(1-Assumptions!$C$27)+L19</f>
        <v/>
      </c>
      <c r="M20" s="31">
        <f>L20*(1-Assumptions!$C$27)+M19</f>
        <v/>
      </c>
      <c r="N20" s="31">
        <f>M20*(1-Assumptions!$C$27)+N19</f>
        <v/>
      </c>
      <c r="O20" s="31">
        <f>N20*(1-Assumptions!$C$27)+O19</f>
        <v/>
      </c>
      <c r="P20" s="31">
        <f>O20*(1-Assumptions!$C$27)+P19</f>
        <v/>
      </c>
      <c r="Q20" s="31">
        <f>P20*(1-Assumptions!$C$27)+Q19</f>
        <v/>
      </c>
      <c r="R20" s="31">
        <f>Q20*(1-Assumptions!$C$27)+R19</f>
        <v/>
      </c>
      <c r="S20" s="31">
        <f>R20*(1-Assumptions!$C$27)+S19</f>
        <v/>
      </c>
      <c r="T20" s="31">
        <f>S20*(1-Assumptions!$C$27)+T19</f>
        <v/>
      </c>
      <c r="U20" s="31">
        <f>T20*(1-Assumptions!$C$27)+U19</f>
        <v/>
      </c>
      <c r="V20" s="31">
        <f>U20*(1-Assumptions!$C$27)+V19</f>
        <v/>
      </c>
      <c r="W20" s="31">
        <f>V20*(1-Assumptions!$C$27)+W19</f>
        <v/>
      </c>
      <c r="X20" s="31">
        <f>W20*(1-Assumptions!$C$27)+X19</f>
        <v/>
      </c>
      <c r="Y20" s="31">
        <f>X20*(1-Assumptions!$C$27)+Y19</f>
        <v/>
      </c>
      <c r="Z20" s="31">
        <f>Y20*(1-Assumptions!$C$27)+Z19</f>
        <v/>
      </c>
      <c r="AA20" s="31">
        <f>Z20*(1-Assumptions!$C$27)+AA19</f>
        <v/>
      </c>
      <c r="AB20" s="31">
        <f>AA20*(1-Assumptions!$C$27)+AB19</f>
        <v/>
      </c>
      <c r="AC20" s="31">
        <f>AB20*(1-Assumptions!$C$27)+AC19</f>
        <v/>
      </c>
      <c r="AD20" s="31">
        <f>AC20*(1-Assumptions!$C$27)+AD19</f>
        <v/>
      </c>
      <c r="AE20" s="31">
        <f>AD20*(1-Assumptions!$C$27)+AE19</f>
        <v/>
      </c>
      <c r="AF20" s="31">
        <f>AE20*(1-Assumptions!$C$27)+AF19</f>
        <v/>
      </c>
      <c r="AG20" s="31">
        <f>AF20*(1-Assumptions!$C$27)+AG19</f>
        <v/>
      </c>
      <c r="AH20" s="31">
        <f>AG20*(1-Assumptions!$C$27)+AH19</f>
        <v/>
      </c>
      <c r="AI20" s="31">
        <f>AH20*(1-Assumptions!$C$27)+AI19</f>
        <v/>
      </c>
      <c r="AJ20" s="31">
        <f>AI20*(1-Assumptions!$C$27)+AJ19</f>
        <v/>
      </c>
      <c r="AK20" s="31">
        <f>AJ20*(1-Assumptions!$C$27)+AK19</f>
        <v/>
      </c>
      <c r="AL20" s="31">
        <f>AK20*(1-Assumptions!$C$27)+AL19</f>
        <v/>
      </c>
    </row>
    <row r="21">
      <c r="A21" t="inlineStr">
        <is>
          <t>[E] Community MRR</t>
        </is>
      </c>
      <c r="C21" s="32">
        <f>C20*Assumptions!$C$26</f>
        <v/>
      </c>
      <c r="D21" s="32">
        <f>D20*Assumptions!$C$26</f>
        <v/>
      </c>
      <c r="E21" s="32">
        <f>E20*Assumptions!$C$26</f>
        <v/>
      </c>
      <c r="F21" s="32">
        <f>F20*Assumptions!$C$26</f>
        <v/>
      </c>
      <c r="G21" s="32">
        <f>G20*Assumptions!$C$26</f>
        <v/>
      </c>
      <c r="H21" s="32">
        <f>H20*Assumptions!$C$26</f>
        <v/>
      </c>
      <c r="I21" s="32">
        <f>I20*Assumptions!$C$26</f>
        <v/>
      </c>
      <c r="J21" s="32">
        <f>J20*Assumptions!$C$26</f>
        <v/>
      </c>
      <c r="K21" s="32">
        <f>K20*Assumptions!$C$26</f>
        <v/>
      </c>
      <c r="L21" s="32">
        <f>L20*Assumptions!$C$26</f>
        <v/>
      </c>
      <c r="M21" s="32">
        <f>M20*Assumptions!$C$26</f>
        <v/>
      </c>
      <c r="N21" s="32">
        <f>N20*Assumptions!$C$26</f>
        <v/>
      </c>
      <c r="O21" s="32">
        <f>O20*Assumptions!$C$26</f>
        <v/>
      </c>
      <c r="P21" s="32">
        <f>P20*Assumptions!$C$26</f>
        <v/>
      </c>
      <c r="Q21" s="32">
        <f>Q20*Assumptions!$C$26</f>
        <v/>
      </c>
      <c r="R21" s="32">
        <f>R20*Assumptions!$C$26</f>
        <v/>
      </c>
      <c r="S21" s="32">
        <f>S20*Assumptions!$C$26</f>
        <v/>
      </c>
      <c r="T21" s="32">
        <f>T20*Assumptions!$C$26</f>
        <v/>
      </c>
      <c r="U21" s="32">
        <f>U20*Assumptions!$C$26</f>
        <v/>
      </c>
      <c r="V21" s="32">
        <f>V20*Assumptions!$C$26</f>
        <v/>
      </c>
      <c r="W21" s="32">
        <f>W20*Assumptions!$C$26</f>
        <v/>
      </c>
      <c r="X21" s="32">
        <f>X20*Assumptions!$C$26</f>
        <v/>
      </c>
      <c r="Y21" s="32">
        <f>Y20*Assumptions!$C$26</f>
        <v/>
      </c>
      <c r="Z21" s="32">
        <f>Z20*Assumptions!$C$26</f>
        <v/>
      </c>
      <c r="AA21" s="32">
        <f>AA20*Assumptions!$C$26</f>
        <v/>
      </c>
      <c r="AB21" s="32">
        <f>AB20*Assumptions!$C$26</f>
        <v/>
      </c>
      <c r="AC21" s="32">
        <f>AC20*Assumptions!$C$26</f>
        <v/>
      </c>
      <c r="AD21" s="32">
        <f>AD20*Assumptions!$C$26</f>
        <v/>
      </c>
      <c r="AE21" s="32">
        <f>AE20*Assumptions!$C$26</f>
        <v/>
      </c>
      <c r="AF21" s="32">
        <f>AF20*Assumptions!$C$26</f>
        <v/>
      </c>
      <c r="AG21" s="32">
        <f>AG20*Assumptions!$C$26</f>
        <v/>
      </c>
      <c r="AH21" s="32">
        <f>AH20*Assumptions!$C$26</f>
        <v/>
      </c>
      <c r="AI21" s="32">
        <f>AI20*Assumptions!$C$26</f>
        <v/>
      </c>
      <c r="AJ21" s="32">
        <f>AJ20*Assumptions!$C$26</f>
        <v/>
      </c>
      <c r="AK21" s="32">
        <f>AK20*Assumptions!$C$26</f>
        <v/>
      </c>
      <c r="AL21" s="32">
        <f>AL20*Assumptions!$C$26</f>
        <v/>
      </c>
    </row>
    <row r="22">
      <c r="A22" t="inlineStr">
        <is>
          <t>[E] Course revenue</t>
        </is>
      </c>
      <c r="C22" s="32">
        <f>C6*Assumptions!$C$28*Assumptions!$C$29</f>
        <v/>
      </c>
      <c r="D22" s="32">
        <f>D6*Assumptions!$C$28*Assumptions!$C$29</f>
        <v/>
      </c>
      <c r="E22" s="32">
        <f>E6*Assumptions!$C$28*Assumptions!$C$29</f>
        <v/>
      </c>
      <c r="F22" s="32">
        <f>F6*Assumptions!$C$28*Assumptions!$C$29</f>
        <v/>
      </c>
      <c r="G22" s="32">
        <f>G6*Assumptions!$C$28*Assumptions!$C$29</f>
        <v/>
      </c>
      <c r="H22" s="32">
        <f>H6*Assumptions!$C$28*Assumptions!$C$29</f>
        <v/>
      </c>
      <c r="I22" s="32">
        <f>I6*Assumptions!$C$28*Assumptions!$C$29</f>
        <v/>
      </c>
      <c r="J22" s="32">
        <f>J6*Assumptions!$C$28*Assumptions!$C$29</f>
        <v/>
      </c>
      <c r="K22" s="32">
        <f>K6*Assumptions!$C$28*Assumptions!$C$29</f>
        <v/>
      </c>
      <c r="L22" s="32">
        <f>L6*Assumptions!$C$28*Assumptions!$C$29</f>
        <v/>
      </c>
      <c r="M22" s="32">
        <f>M6*Assumptions!$C$28*Assumptions!$C$29</f>
        <v/>
      </c>
      <c r="N22" s="32">
        <f>N6*Assumptions!$C$28*Assumptions!$C$29</f>
        <v/>
      </c>
      <c r="O22" s="32">
        <f>O6*Assumptions!$C$28*Assumptions!$C$29</f>
        <v/>
      </c>
      <c r="P22" s="32">
        <f>P6*Assumptions!$C$28*Assumptions!$C$29</f>
        <v/>
      </c>
      <c r="Q22" s="32">
        <f>Q6*Assumptions!$C$28*Assumptions!$C$29</f>
        <v/>
      </c>
      <c r="R22" s="32">
        <f>R6*Assumptions!$C$28*Assumptions!$C$29</f>
        <v/>
      </c>
      <c r="S22" s="32">
        <f>S6*Assumptions!$C$28*Assumptions!$C$29</f>
        <v/>
      </c>
      <c r="T22" s="32">
        <f>T6*Assumptions!$C$28*Assumptions!$C$29</f>
        <v/>
      </c>
      <c r="U22" s="32">
        <f>U6*Assumptions!$C$28*Assumptions!$C$29</f>
        <v/>
      </c>
      <c r="V22" s="32">
        <f>V6*Assumptions!$C$28*Assumptions!$C$29</f>
        <v/>
      </c>
      <c r="W22" s="32">
        <f>W6*Assumptions!$C$28*Assumptions!$C$29</f>
        <v/>
      </c>
      <c r="X22" s="32">
        <f>X6*Assumptions!$C$28*Assumptions!$C$29</f>
        <v/>
      </c>
      <c r="Y22" s="32">
        <f>Y6*Assumptions!$C$28*Assumptions!$C$29</f>
        <v/>
      </c>
      <c r="Z22" s="32">
        <f>Z6*Assumptions!$C$28*Assumptions!$C$29</f>
        <v/>
      </c>
      <c r="AA22" s="32">
        <f>AA6*Assumptions!$C$28*Assumptions!$C$29</f>
        <v/>
      </c>
      <c r="AB22" s="32">
        <f>AB6*Assumptions!$C$28*Assumptions!$C$29</f>
        <v/>
      </c>
      <c r="AC22" s="32">
        <f>AC6*Assumptions!$C$28*Assumptions!$C$29</f>
        <v/>
      </c>
      <c r="AD22" s="32">
        <f>AD6*Assumptions!$C$28*Assumptions!$C$29</f>
        <v/>
      </c>
      <c r="AE22" s="32">
        <f>AE6*Assumptions!$C$28*Assumptions!$C$29</f>
        <v/>
      </c>
      <c r="AF22" s="32">
        <f>AF6*Assumptions!$C$28*Assumptions!$C$29</f>
        <v/>
      </c>
      <c r="AG22" s="32">
        <f>AG6*Assumptions!$C$28*Assumptions!$C$29</f>
        <v/>
      </c>
      <c r="AH22" s="32">
        <f>AH6*Assumptions!$C$28*Assumptions!$C$29</f>
        <v/>
      </c>
      <c r="AI22" s="32">
        <f>AI6*Assumptions!$C$28*Assumptions!$C$29</f>
        <v/>
      </c>
      <c r="AJ22" s="32">
        <f>AJ6*Assumptions!$C$28*Assumptions!$C$29</f>
        <v/>
      </c>
      <c r="AK22" s="32">
        <f>AK6*Assumptions!$C$28*Assumptions!$C$29</f>
        <v/>
      </c>
      <c r="AL22" s="32">
        <f>AL6*Assumptions!$C$28*Assumptions!$C$29</f>
        <v/>
      </c>
    </row>
    <row r="24">
      <c r="A24" t="inlineStr">
        <is>
          <t>[D] Discovery calls</t>
        </is>
      </c>
      <c r="C24" s="31">
        <f>C7*Assumptions!$C$31</f>
        <v/>
      </c>
      <c r="D24" s="31">
        <f>D7*Assumptions!$C$31</f>
        <v/>
      </c>
      <c r="E24" s="31">
        <f>E7*Assumptions!$C$31</f>
        <v/>
      </c>
      <c r="F24" s="31">
        <f>F7*Assumptions!$C$31</f>
        <v/>
      </c>
      <c r="G24" s="31">
        <f>G7*Assumptions!$C$31</f>
        <v/>
      </c>
      <c r="H24" s="31">
        <f>H7*Assumptions!$C$31</f>
        <v/>
      </c>
      <c r="I24" s="31">
        <f>I7*Assumptions!$C$31</f>
        <v/>
      </c>
      <c r="J24" s="31">
        <f>J7*Assumptions!$C$31</f>
        <v/>
      </c>
      <c r="K24" s="31">
        <f>K7*Assumptions!$C$31</f>
        <v/>
      </c>
      <c r="L24" s="31">
        <f>L7*Assumptions!$C$31</f>
        <v/>
      </c>
      <c r="M24" s="31">
        <f>M7*Assumptions!$C$31</f>
        <v/>
      </c>
      <c r="N24" s="31">
        <f>N7*Assumptions!$C$31</f>
        <v/>
      </c>
      <c r="O24" s="31">
        <f>O7*Assumptions!$C$31</f>
        <v/>
      </c>
      <c r="P24" s="31">
        <f>P7*Assumptions!$C$31</f>
        <v/>
      </c>
      <c r="Q24" s="31">
        <f>Q7*Assumptions!$C$31</f>
        <v/>
      </c>
      <c r="R24" s="31">
        <f>R7*Assumptions!$C$31</f>
        <v/>
      </c>
      <c r="S24" s="31">
        <f>S7*Assumptions!$C$31</f>
        <v/>
      </c>
      <c r="T24" s="31">
        <f>T7*Assumptions!$C$31</f>
        <v/>
      </c>
      <c r="U24" s="31">
        <f>U7*Assumptions!$C$31</f>
        <v/>
      </c>
      <c r="V24" s="31">
        <f>V7*Assumptions!$C$31</f>
        <v/>
      </c>
      <c r="W24" s="31">
        <f>W7*Assumptions!$C$31</f>
        <v/>
      </c>
      <c r="X24" s="31">
        <f>X7*Assumptions!$C$31</f>
        <v/>
      </c>
      <c r="Y24" s="31">
        <f>Y7*Assumptions!$C$31</f>
        <v/>
      </c>
      <c r="Z24" s="31">
        <f>Z7*Assumptions!$C$31</f>
        <v/>
      </c>
      <c r="AA24" s="31">
        <f>AA7*Assumptions!$C$31</f>
        <v/>
      </c>
      <c r="AB24" s="31">
        <f>AB7*Assumptions!$C$31</f>
        <v/>
      </c>
      <c r="AC24" s="31">
        <f>AC7*Assumptions!$C$31</f>
        <v/>
      </c>
      <c r="AD24" s="31">
        <f>AD7*Assumptions!$C$31</f>
        <v/>
      </c>
      <c r="AE24" s="31">
        <f>AE7*Assumptions!$C$31</f>
        <v/>
      </c>
      <c r="AF24" s="31">
        <f>AF7*Assumptions!$C$31</f>
        <v/>
      </c>
      <c r="AG24" s="31">
        <f>AG7*Assumptions!$C$31</f>
        <v/>
      </c>
      <c r="AH24" s="31">
        <f>AH7*Assumptions!$C$31</f>
        <v/>
      </c>
      <c r="AI24" s="31">
        <f>AI7*Assumptions!$C$31</f>
        <v/>
      </c>
      <c r="AJ24" s="31">
        <f>AJ7*Assumptions!$C$31</f>
        <v/>
      </c>
      <c r="AK24" s="31">
        <f>AK7*Assumptions!$C$31</f>
        <v/>
      </c>
      <c r="AL24" s="31">
        <f>AL7*Assumptions!$C$31</f>
        <v/>
      </c>
    </row>
    <row r="25">
      <c r="A25" t="inlineStr">
        <is>
          <t>[D] New projects</t>
        </is>
      </c>
      <c r="C25" s="31">
        <f>C24*Assumptions!$C$32</f>
        <v/>
      </c>
      <c r="D25" s="31">
        <f>D24*Assumptions!$C$32</f>
        <v/>
      </c>
      <c r="E25" s="31">
        <f>E24*Assumptions!$C$32</f>
        <v/>
      </c>
      <c r="F25" s="31">
        <f>F24*Assumptions!$C$32</f>
        <v/>
      </c>
      <c r="G25" s="31">
        <f>G24*Assumptions!$C$32</f>
        <v/>
      </c>
      <c r="H25" s="31">
        <f>H24*Assumptions!$C$32</f>
        <v/>
      </c>
      <c r="I25" s="31">
        <f>I24*Assumptions!$C$32</f>
        <v/>
      </c>
      <c r="J25" s="31">
        <f>J24*Assumptions!$C$32</f>
        <v/>
      </c>
      <c r="K25" s="31">
        <f>K24*Assumptions!$C$32</f>
        <v/>
      </c>
      <c r="L25" s="31">
        <f>L24*Assumptions!$C$32</f>
        <v/>
      </c>
      <c r="M25" s="31">
        <f>M24*Assumptions!$C$32</f>
        <v/>
      </c>
      <c r="N25" s="31">
        <f>N24*Assumptions!$C$32</f>
        <v/>
      </c>
      <c r="O25" s="31">
        <f>O24*Assumptions!$C$32</f>
        <v/>
      </c>
      <c r="P25" s="31">
        <f>P24*Assumptions!$C$32</f>
        <v/>
      </c>
      <c r="Q25" s="31">
        <f>Q24*Assumptions!$C$32</f>
        <v/>
      </c>
      <c r="R25" s="31">
        <f>R24*Assumptions!$C$32</f>
        <v/>
      </c>
      <c r="S25" s="31">
        <f>S24*Assumptions!$C$32</f>
        <v/>
      </c>
      <c r="T25" s="31">
        <f>T24*Assumptions!$C$32</f>
        <v/>
      </c>
      <c r="U25" s="31">
        <f>U24*Assumptions!$C$32</f>
        <v/>
      </c>
      <c r="V25" s="31">
        <f>V24*Assumptions!$C$32</f>
        <v/>
      </c>
      <c r="W25" s="31">
        <f>W24*Assumptions!$C$32</f>
        <v/>
      </c>
      <c r="X25" s="31">
        <f>X24*Assumptions!$C$32</f>
        <v/>
      </c>
      <c r="Y25" s="31">
        <f>Y24*Assumptions!$C$32</f>
        <v/>
      </c>
      <c r="Z25" s="31">
        <f>Z24*Assumptions!$C$32</f>
        <v/>
      </c>
      <c r="AA25" s="31">
        <f>AA24*Assumptions!$C$32</f>
        <v/>
      </c>
      <c r="AB25" s="31">
        <f>AB24*Assumptions!$C$32</f>
        <v/>
      </c>
      <c r="AC25" s="31">
        <f>AC24*Assumptions!$C$32</f>
        <v/>
      </c>
      <c r="AD25" s="31">
        <f>AD24*Assumptions!$C$32</f>
        <v/>
      </c>
      <c r="AE25" s="31">
        <f>AE24*Assumptions!$C$32</f>
        <v/>
      </c>
      <c r="AF25" s="31">
        <f>AF24*Assumptions!$C$32</f>
        <v/>
      </c>
      <c r="AG25" s="31">
        <f>AG24*Assumptions!$C$32</f>
        <v/>
      </c>
      <c r="AH25" s="31">
        <f>AH24*Assumptions!$C$32</f>
        <v/>
      </c>
      <c r="AI25" s="31">
        <f>AI24*Assumptions!$C$32</f>
        <v/>
      </c>
      <c r="AJ25" s="31">
        <f>AJ24*Assumptions!$C$32</f>
        <v/>
      </c>
      <c r="AK25" s="31">
        <f>AK24*Assumptions!$C$32</f>
        <v/>
      </c>
      <c r="AL25" s="31">
        <f>AL24*Assumptions!$C$32</f>
        <v/>
      </c>
    </row>
    <row r="26">
      <c r="A26" t="inlineStr">
        <is>
          <t>[D] Project revenue</t>
        </is>
      </c>
      <c r="C26" s="32">
        <f>C25*Assumptions!$C$33</f>
        <v/>
      </c>
      <c r="D26" s="32">
        <f>D25*Assumptions!$C$33</f>
        <v/>
      </c>
      <c r="E26" s="32">
        <f>E25*Assumptions!$C$33</f>
        <v/>
      </c>
      <c r="F26" s="32">
        <f>F25*Assumptions!$C$33</f>
        <v/>
      </c>
      <c r="G26" s="32">
        <f>G25*Assumptions!$C$33</f>
        <v/>
      </c>
      <c r="H26" s="32">
        <f>H25*Assumptions!$C$33</f>
        <v/>
      </c>
      <c r="I26" s="32">
        <f>I25*Assumptions!$C$33</f>
        <v/>
      </c>
      <c r="J26" s="32">
        <f>J25*Assumptions!$C$33</f>
        <v/>
      </c>
      <c r="K26" s="32">
        <f>K25*Assumptions!$C$33</f>
        <v/>
      </c>
      <c r="L26" s="32">
        <f>L25*Assumptions!$C$33</f>
        <v/>
      </c>
      <c r="M26" s="32">
        <f>M25*Assumptions!$C$33</f>
        <v/>
      </c>
      <c r="N26" s="32">
        <f>N25*Assumptions!$C$33</f>
        <v/>
      </c>
      <c r="O26" s="32">
        <f>O25*Assumptions!$C$33</f>
        <v/>
      </c>
      <c r="P26" s="32">
        <f>P25*Assumptions!$C$33</f>
        <v/>
      </c>
      <c r="Q26" s="32">
        <f>Q25*Assumptions!$C$33</f>
        <v/>
      </c>
      <c r="R26" s="32">
        <f>R25*Assumptions!$C$33</f>
        <v/>
      </c>
      <c r="S26" s="32">
        <f>S25*Assumptions!$C$33</f>
        <v/>
      </c>
      <c r="T26" s="32">
        <f>T25*Assumptions!$C$33</f>
        <v/>
      </c>
      <c r="U26" s="32">
        <f>U25*Assumptions!$C$33</f>
        <v/>
      </c>
      <c r="V26" s="32">
        <f>V25*Assumptions!$C$33</f>
        <v/>
      </c>
      <c r="W26" s="32">
        <f>W25*Assumptions!$C$33</f>
        <v/>
      </c>
      <c r="X26" s="32">
        <f>X25*Assumptions!$C$33</f>
        <v/>
      </c>
      <c r="Y26" s="32">
        <f>Y25*Assumptions!$C$33</f>
        <v/>
      </c>
      <c r="Z26" s="32">
        <f>Z25*Assumptions!$C$33</f>
        <v/>
      </c>
      <c r="AA26" s="32">
        <f>AA25*Assumptions!$C$33</f>
        <v/>
      </c>
      <c r="AB26" s="32">
        <f>AB25*Assumptions!$C$33</f>
        <v/>
      </c>
      <c r="AC26" s="32">
        <f>AC25*Assumptions!$C$33</f>
        <v/>
      </c>
      <c r="AD26" s="32">
        <f>AD25*Assumptions!$C$33</f>
        <v/>
      </c>
      <c r="AE26" s="32">
        <f>AE25*Assumptions!$C$33</f>
        <v/>
      </c>
      <c r="AF26" s="32">
        <f>AF25*Assumptions!$C$33</f>
        <v/>
      </c>
      <c r="AG26" s="32">
        <f>AG25*Assumptions!$C$33</f>
        <v/>
      </c>
      <c r="AH26" s="32">
        <f>AH25*Assumptions!$C$33</f>
        <v/>
      </c>
      <c r="AI26" s="32">
        <f>AI25*Assumptions!$C$33</f>
        <v/>
      </c>
      <c r="AJ26" s="32">
        <f>AJ25*Assumptions!$C$33</f>
        <v/>
      </c>
      <c r="AK26" s="32">
        <f>AK25*Assumptions!$C$33</f>
        <v/>
      </c>
      <c r="AL26" s="32">
        <f>AL25*Assumptions!$C$33</f>
        <v/>
      </c>
    </row>
    <row r="27">
      <c r="A27" t="inlineStr">
        <is>
          <t>[D] New retainers</t>
        </is>
      </c>
      <c r="C27" s="31">
        <f>C25*Assumptions!$C$34</f>
        <v/>
      </c>
      <c r="D27" s="31">
        <f>D25*Assumptions!$C$34</f>
        <v/>
      </c>
      <c r="E27" s="31">
        <f>E25*Assumptions!$C$34</f>
        <v/>
      </c>
      <c r="F27" s="31">
        <f>F25*Assumptions!$C$34</f>
        <v/>
      </c>
      <c r="G27" s="31">
        <f>G25*Assumptions!$C$34</f>
        <v/>
      </c>
      <c r="H27" s="31">
        <f>H25*Assumptions!$C$34</f>
        <v/>
      </c>
      <c r="I27" s="31">
        <f>I25*Assumptions!$C$34</f>
        <v/>
      </c>
      <c r="J27" s="31">
        <f>J25*Assumptions!$C$34</f>
        <v/>
      </c>
      <c r="K27" s="31">
        <f>K25*Assumptions!$C$34</f>
        <v/>
      </c>
      <c r="L27" s="31">
        <f>L25*Assumptions!$C$34</f>
        <v/>
      </c>
      <c r="M27" s="31">
        <f>M25*Assumptions!$C$34</f>
        <v/>
      </c>
      <c r="N27" s="31">
        <f>N25*Assumptions!$C$34</f>
        <v/>
      </c>
      <c r="O27" s="31">
        <f>O25*Assumptions!$C$34</f>
        <v/>
      </c>
      <c r="P27" s="31">
        <f>P25*Assumptions!$C$34</f>
        <v/>
      </c>
      <c r="Q27" s="31">
        <f>Q25*Assumptions!$C$34</f>
        <v/>
      </c>
      <c r="R27" s="31">
        <f>R25*Assumptions!$C$34</f>
        <v/>
      </c>
      <c r="S27" s="31">
        <f>S25*Assumptions!$C$34</f>
        <v/>
      </c>
      <c r="T27" s="31">
        <f>T25*Assumptions!$C$34</f>
        <v/>
      </c>
      <c r="U27" s="31">
        <f>U25*Assumptions!$C$34</f>
        <v/>
      </c>
      <c r="V27" s="31">
        <f>V25*Assumptions!$C$34</f>
        <v/>
      </c>
      <c r="W27" s="31">
        <f>W25*Assumptions!$C$34</f>
        <v/>
      </c>
      <c r="X27" s="31">
        <f>X25*Assumptions!$C$34</f>
        <v/>
      </c>
      <c r="Y27" s="31">
        <f>Y25*Assumptions!$C$34</f>
        <v/>
      </c>
      <c r="Z27" s="31">
        <f>Z25*Assumptions!$C$34</f>
        <v/>
      </c>
      <c r="AA27" s="31">
        <f>AA25*Assumptions!$C$34</f>
        <v/>
      </c>
      <c r="AB27" s="31">
        <f>AB25*Assumptions!$C$34</f>
        <v/>
      </c>
      <c r="AC27" s="31">
        <f>AC25*Assumptions!$C$34</f>
        <v/>
      </c>
      <c r="AD27" s="31">
        <f>AD25*Assumptions!$C$34</f>
        <v/>
      </c>
      <c r="AE27" s="31">
        <f>AE25*Assumptions!$C$34</f>
        <v/>
      </c>
      <c r="AF27" s="31">
        <f>AF25*Assumptions!$C$34</f>
        <v/>
      </c>
      <c r="AG27" s="31">
        <f>AG25*Assumptions!$C$34</f>
        <v/>
      </c>
      <c r="AH27" s="31">
        <f>AH25*Assumptions!$C$34</f>
        <v/>
      </c>
      <c r="AI27" s="31">
        <f>AI25*Assumptions!$C$34</f>
        <v/>
      </c>
      <c r="AJ27" s="31">
        <f>AJ25*Assumptions!$C$34</f>
        <v/>
      </c>
      <c r="AK27" s="31">
        <f>AK25*Assumptions!$C$34</f>
        <v/>
      </c>
      <c r="AL27" s="31">
        <f>AL25*Assumptions!$C$34</f>
        <v/>
      </c>
    </row>
    <row r="28">
      <c r="A28" t="inlineStr">
        <is>
          <t>[D] Active retainers</t>
        </is>
      </c>
      <c r="C28" s="31">
        <f>C27</f>
        <v/>
      </c>
      <c r="D28" s="31">
        <f>C28*(1-Assumptions!$C$36)+D27</f>
        <v/>
      </c>
      <c r="E28" s="31">
        <f>D28*(1-Assumptions!$C$36)+E27</f>
        <v/>
      </c>
      <c r="F28" s="31">
        <f>E28*(1-Assumptions!$C$36)+F27</f>
        <v/>
      </c>
      <c r="G28" s="31">
        <f>F28*(1-Assumptions!$C$36)+G27</f>
        <v/>
      </c>
      <c r="H28" s="31">
        <f>G28*(1-Assumptions!$C$36)+H27</f>
        <v/>
      </c>
      <c r="I28" s="31">
        <f>H28*(1-Assumptions!$C$36)+I27</f>
        <v/>
      </c>
      <c r="J28" s="31">
        <f>I28*(1-Assumptions!$C$36)+J27</f>
        <v/>
      </c>
      <c r="K28" s="31">
        <f>J28*(1-Assumptions!$C$36)+K27</f>
        <v/>
      </c>
      <c r="L28" s="31">
        <f>K28*(1-Assumptions!$C$36)+L27</f>
        <v/>
      </c>
      <c r="M28" s="31">
        <f>L28*(1-Assumptions!$C$36)+M27</f>
        <v/>
      </c>
      <c r="N28" s="31">
        <f>M28*(1-Assumptions!$C$36)+N27</f>
        <v/>
      </c>
      <c r="O28" s="31">
        <f>N28*(1-Assumptions!$C$36)+O27</f>
        <v/>
      </c>
      <c r="P28" s="31">
        <f>O28*(1-Assumptions!$C$36)+P27</f>
        <v/>
      </c>
      <c r="Q28" s="31">
        <f>P28*(1-Assumptions!$C$36)+Q27</f>
        <v/>
      </c>
      <c r="R28" s="31">
        <f>Q28*(1-Assumptions!$C$36)+R27</f>
        <v/>
      </c>
      <c r="S28" s="31">
        <f>R28*(1-Assumptions!$C$36)+S27</f>
        <v/>
      </c>
      <c r="T28" s="31">
        <f>S28*(1-Assumptions!$C$36)+T27</f>
        <v/>
      </c>
      <c r="U28" s="31">
        <f>T28*(1-Assumptions!$C$36)+U27</f>
        <v/>
      </c>
      <c r="V28" s="31">
        <f>U28*(1-Assumptions!$C$36)+V27</f>
        <v/>
      </c>
      <c r="W28" s="31">
        <f>V28*(1-Assumptions!$C$36)+W27</f>
        <v/>
      </c>
      <c r="X28" s="31">
        <f>W28*(1-Assumptions!$C$36)+X27</f>
        <v/>
      </c>
      <c r="Y28" s="31">
        <f>X28*(1-Assumptions!$C$36)+Y27</f>
        <v/>
      </c>
      <c r="Z28" s="31">
        <f>Y28*(1-Assumptions!$C$36)+Z27</f>
        <v/>
      </c>
      <c r="AA28" s="31">
        <f>Z28*(1-Assumptions!$C$36)+AA27</f>
        <v/>
      </c>
      <c r="AB28" s="31">
        <f>AA28*(1-Assumptions!$C$36)+AB27</f>
        <v/>
      </c>
      <c r="AC28" s="31">
        <f>AB28*(1-Assumptions!$C$36)+AC27</f>
        <v/>
      </c>
      <c r="AD28" s="31">
        <f>AC28*(1-Assumptions!$C$36)+AD27</f>
        <v/>
      </c>
      <c r="AE28" s="31">
        <f>AD28*(1-Assumptions!$C$36)+AE27</f>
        <v/>
      </c>
      <c r="AF28" s="31">
        <f>AE28*(1-Assumptions!$C$36)+AF27</f>
        <v/>
      </c>
      <c r="AG28" s="31">
        <f>AF28*(1-Assumptions!$C$36)+AG27</f>
        <v/>
      </c>
      <c r="AH28" s="31">
        <f>AG28*(1-Assumptions!$C$36)+AH27</f>
        <v/>
      </c>
      <c r="AI28" s="31">
        <f>AH28*(1-Assumptions!$C$36)+AI27</f>
        <v/>
      </c>
      <c r="AJ28" s="31">
        <f>AI28*(1-Assumptions!$C$36)+AJ27</f>
        <v/>
      </c>
      <c r="AK28" s="31">
        <f>AJ28*(1-Assumptions!$C$36)+AK27</f>
        <v/>
      </c>
      <c r="AL28" s="31">
        <f>AK28*(1-Assumptions!$C$36)+AL27</f>
        <v/>
      </c>
    </row>
    <row r="29">
      <c r="A29" t="inlineStr">
        <is>
          <t>[D] Retainer MRR</t>
        </is>
      </c>
      <c r="C29" s="32">
        <f>C28*Assumptions!$C$35</f>
        <v/>
      </c>
      <c r="D29" s="32">
        <f>D28*Assumptions!$C$35</f>
        <v/>
      </c>
      <c r="E29" s="32">
        <f>E28*Assumptions!$C$35</f>
        <v/>
      </c>
      <c r="F29" s="32">
        <f>F28*Assumptions!$C$35</f>
        <v/>
      </c>
      <c r="G29" s="32">
        <f>G28*Assumptions!$C$35</f>
        <v/>
      </c>
      <c r="H29" s="32">
        <f>H28*Assumptions!$C$35</f>
        <v/>
      </c>
      <c r="I29" s="32">
        <f>I28*Assumptions!$C$35</f>
        <v/>
      </c>
      <c r="J29" s="32">
        <f>J28*Assumptions!$C$35</f>
        <v/>
      </c>
      <c r="K29" s="32">
        <f>K28*Assumptions!$C$35</f>
        <v/>
      </c>
      <c r="L29" s="32">
        <f>L28*Assumptions!$C$35</f>
        <v/>
      </c>
      <c r="M29" s="32">
        <f>M28*Assumptions!$C$35</f>
        <v/>
      </c>
      <c r="N29" s="32">
        <f>N28*Assumptions!$C$35</f>
        <v/>
      </c>
      <c r="O29" s="32">
        <f>O28*Assumptions!$C$35</f>
        <v/>
      </c>
      <c r="P29" s="32">
        <f>P28*Assumptions!$C$35</f>
        <v/>
      </c>
      <c r="Q29" s="32">
        <f>Q28*Assumptions!$C$35</f>
        <v/>
      </c>
      <c r="R29" s="32">
        <f>R28*Assumptions!$C$35</f>
        <v/>
      </c>
      <c r="S29" s="32">
        <f>S28*Assumptions!$C$35</f>
        <v/>
      </c>
      <c r="T29" s="32">
        <f>T28*Assumptions!$C$35</f>
        <v/>
      </c>
      <c r="U29" s="32">
        <f>U28*Assumptions!$C$35</f>
        <v/>
      </c>
      <c r="V29" s="32">
        <f>V28*Assumptions!$C$35</f>
        <v/>
      </c>
      <c r="W29" s="32">
        <f>W28*Assumptions!$C$35</f>
        <v/>
      </c>
      <c r="X29" s="32">
        <f>X28*Assumptions!$C$35</f>
        <v/>
      </c>
      <c r="Y29" s="32">
        <f>Y28*Assumptions!$C$35</f>
        <v/>
      </c>
      <c r="Z29" s="32">
        <f>Z28*Assumptions!$C$35</f>
        <v/>
      </c>
      <c r="AA29" s="32">
        <f>AA28*Assumptions!$C$35</f>
        <v/>
      </c>
      <c r="AB29" s="32">
        <f>AB28*Assumptions!$C$35</f>
        <v/>
      </c>
      <c r="AC29" s="32">
        <f>AC28*Assumptions!$C$35</f>
        <v/>
      </c>
      <c r="AD29" s="32">
        <f>AD28*Assumptions!$C$35</f>
        <v/>
      </c>
      <c r="AE29" s="32">
        <f>AE28*Assumptions!$C$35</f>
        <v/>
      </c>
      <c r="AF29" s="32">
        <f>AF28*Assumptions!$C$35</f>
        <v/>
      </c>
      <c r="AG29" s="32">
        <f>AG28*Assumptions!$C$35</f>
        <v/>
      </c>
      <c r="AH29" s="32">
        <f>AH28*Assumptions!$C$35</f>
        <v/>
      </c>
      <c r="AI29" s="32">
        <f>AI28*Assumptions!$C$35</f>
        <v/>
      </c>
      <c r="AJ29" s="32">
        <f>AJ28*Assumptions!$C$35</f>
        <v/>
      </c>
      <c r="AK29" s="32">
        <f>AK28*Assumptions!$C$35</f>
        <v/>
      </c>
      <c r="AL29" s="32">
        <f>AL28*Assumptions!$C$35</f>
        <v/>
      </c>
    </row>
    <row r="31">
      <c r="A31" s="12" t="inlineStr">
        <is>
          <t>TOTAL monthly revenue</t>
        </is>
      </c>
      <c r="C31" s="32">
        <f>C10+C15+C17+C21+C22+C26+C29</f>
        <v/>
      </c>
      <c r="D31" s="32">
        <f>D10+D15+D17+D21+D22+D26+D29</f>
        <v/>
      </c>
      <c r="E31" s="32">
        <f>E10+E15+E17+E21+E22+E26+E29</f>
        <v/>
      </c>
      <c r="F31" s="32">
        <f>F10+F15+F17+F21+F22+F26+F29</f>
        <v/>
      </c>
      <c r="G31" s="32">
        <f>G10+G15+G17+G21+G22+G26+G29</f>
        <v/>
      </c>
      <c r="H31" s="32">
        <f>H10+H15+H17+H21+H22+H26+H29</f>
        <v/>
      </c>
      <c r="I31" s="32">
        <f>I10+I15+I17+I21+I22+I26+I29</f>
        <v/>
      </c>
      <c r="J31" s="32">
        <f>J10+J15+J17+J21+J22+J26+J29</f>
        <v/>
      </c>
      <c r="K31" s="32">
        <f>K10+K15+K17+K21+K22+K26+K29</f>
        <v/>
      </c>
      <c r="L31" s="32">
        <f>L10+L15+L17+L21+L22+L26+L29</f>
        <v/>
      </c>
      <c r="M31" s="32">
        <f>M10+M15+M17+M21+M22+M26+M29</f>
        <v/>
      </c>
      <c r="N31" s="32">
        <f>N10+N15+N17+N21+N22+N26+N29</f>
        <v/>
      </c>
      <c r="O31" s="32">
        <f>O10+O15+O17+O21+O22+O26+O29</f>
        <v/>
      </c>
      <c r="P31" s="32">
        <f>P10+P15+P17+P21+P22+P26+P29</f>
        <v/>
      </c>
      <c r="Q31" s="32">
        <f>Q10+Q15+Q17+Q21+Q22+Q26+Q29</f>
        <v/>
      </c>
      <c r="R31" s="32">
        <f>R10+R15+R17+R21+R22+R26+R29</f>
        <v/>
      </c>
      <c r="S31" s="32">
        <f>S10+S15+S17+S21+S22+S26+S29</f>
        <v/>
      </c>
      <c r="T31" s="32">
        <f>T10+T15+T17+T21+T22+T26+T29</f>
        <v/>
      </c>
      <c r="U31" s="32">
        <f>U10+U15+U17+U21+U22+U26+U29</f>
        <v/>
      </c>
      <c r="V31" s="32">
        <f>V10+V15+V17+V21+V22+V26+V29</f>
        <v/>
      </c>
      <c r="W31" s="32">
        <f>W10+W15+W17+W21+W22+W26+W29</f>
        <v/>
      </c>
      <c r="X31" s="32">
        <f>X10+X15+X17+X21+X22+X26+X29</f>
        <v/>
      </c>
      <c r="Y31" s="32">
        <f>Y10+Y15+Y17+Y21+Y22+Y26+Y29</f>
        <v/>
      </c>
      <c r="Z31" s="32">
        <f>Z10+Z15+Z17+Z21+Z22+Z26+Z29</f>
        <v/>
      </c>
      <c r="AA31" s="32">
        <f>AA10+AA15+AA17+AA21+AA22+AA26+AA29</f>
        <v/>
      </c>
      <c r="AB31" s="32">
        <f>AB10+AB15+AB17+AB21+AB22+AB26+AB29</f>
        <v/>
      </c>
      <c r="AC31" s="32">
        <f>AC10+AC15+AC17+AC21+AC22+AC26+AC29</f>
        <v/>
      </c>
      <c r="AD31" s="32">
        <f>AD10+AD15+AD17+AD21+AD22+AD26+AD29</f>
        <v/>
      </c>
      <c r="AE31" s="32">
        <f>AE10+AE15+AE17+AE21+AE22+AE26+AE29</f>
        <v/>
      </c>
      <c r="AF31" s="32">
        <f>AF10+AF15+AF17+AF21+AF22+AF26+AF29</f>
        <v/>
      </c>
      <c r="AG31" s="32">
        <f>AG10+AG15+AG17+AG21+AG22+AG26+AG29</f>
        <v/>
      </c>
      <c r="AH31" s="32">
        <f>AH10+AH15+AH17+AH21+AH22+AH26+AH29</f>
        <v/>
      </c>
      <c r="AI31" s="32">
        <f>AI10+AI15+AI17+AI21+AI22+AI26+AI29</f>
        <v/>
      </c>
      <c r="AJ31" s="32">
        <f>AJ10+AJ15+AJ17+AJ21+AJ22+AJ26+AJ29</f>
        <v/>
      </c>
      <c r="AK31" s="32">
        <f>AK10+AK15+AK17+AK21+AK22+AK26+AK29</f>
        <v/>
      </c>
      <c r="AL31" s="32">
        <f>AL10+AL15+AL17+AL21+AL22+AL26+AL29</f>
        <v/>
      </c>
    </row>
    <row r="32">
      <c r="A32" s="12" t="inlineStr">
        <is>
          <t>Recurring MRR</t>
        </is>
      </c>
      <c r="C32" s="32">
        <f>C15+C17+C21+C29</f>
        <v/>
      </c>
      <c r="D32" s="32">
        <f>D15+D17+D21+D29</f>
        <v/>
      </c>
      <c r="E32" s="32">
        <f>E15+E17+E21+E29</f>
        <v/>
      </c>
      <c r="F32" s="32">
        <f>F15+F17+F21+F29</f>
        <v/>
      </c>
      <c r="G32" s="32">
        <f>G15+G17+G21+G29</f>
        <v/>
      </c>
      <c r="H32" s="32">
        <f>H15+H17+H21+H29</f>
        <v/>
      </c>
      <c r="I32" s="32">
        <f>I15+I17+I21+I29</f>
        <v/>
      </c>
      <c r="J32" s="32">
        <f>J15+J17+J21+J29</f>
        <v/>
      </c>
      <c r="K32" s="32">
        <f>K15+K17+K21+K29</f>
        <v/>
      </c>
      <c r="L32" s="32">
        <f>L15+L17+L21+L29</f>
        <v/>
      </c>
      <c r="M32" s="32">
        <f>M15+M17+M21+M29</f>
        <v/>
      </c>
      <c r="N32" s="32">
        <f>N15+N17+N21+N29</f>
        <v/>
      </c>
      <c r="O32" s="32">
        <f>O15+O17+O21+O29</f>
        <v/>
      </c>
      <c r="P32" s="32">
        <f>P15+P17+P21+P29</f>
        <v/>
      </c>
      <c r="Q32" s="32">
        <f>Q15+Q17+Q21+Q29</f>
        <v/>
      </c>
      <c r="R32" s="32">
        <f>R15+R17+R21+R29</f>
        <v/>
      </c>
      <c r="S32" s="32">
        <f>S15+S17+S21+S29</f>
        <v/>
      </c>
      <c r="T32" s="32">
        <f>T15+T17+T21+T29</f>
        <v/>
      </c>
      <c r="U32" s="32">
        <f>U15+U17+U21+U29</f>
        <v/>
      </c>
      <c r="V32" s="32">
        <f>V15+V17+V21+V29</f>
        <v/>
      </c>
      <c r="W32" s="32">
        <f>W15+W17+W21+W29</f>
        <v/>
      </c>
      <c r="X32" s="32">
        <f>X15+X17+X21+X29</f>
        <v/>
      </c>
      <c r="Y32" s="32">
        <f>Y15+Y17+Y21+Y29</f>
        <v/>
      </c>
      <c r="Z32" s="32">
        <f>Z15+Z17+Z21+Z29</f>
        <v/>
      </c>
      <c r="AA32" s="32">
        <f>AA15+AA17+AA21+AA29</f>
        <v/>
      </c>
      <c r="AB32" s="32">
        <f>AB15+AB17+AB21+AB29</f>
        <v/>
      </c>
      <c r="AC32" s="32">
        <f>AC15+AC17+AC21+AC29</f>
        <v/>
      </c>
      <c r="AD32" s="32">
        <f>AD15+AD17+AD21+AD29</f>
        <v/>
      </c>
      <c r="AE32" s="32">
        <f>AE15+AE17+AE21+AE29</f>
        <v/>
      </c>
      <c r="AF32" s="32">
        <f>AF15+AF17+AF21+AF29</f>
        <v/>
      </c>
      <c r="AG32" s="32">
        <f>AG15+AG17+AG21+AG29</f>
        <v/>
      </c>
      <c r="AH32" s="32">
        <f>AH15+AH17+AH21+AH29</f>
        <v/>
      </c>
      <c r="AI32" s="32">
        <f>AI15+AI17+AI21+AI29</f>
        <v/>
      </c>
      <c r="AJ32" s="32">
        <f>AJ15+AJ17+AJ21+AJ29</f>
        <v/>
      </c>
      <c r="AK32" s="32">
        <f>AK15+AK17+AK21+AK29</f>
        <v/>
      </c>
      <c r="AL32" s="32">
        <f>AL15+AL17+AL21+AL29</f>
        <v/>
      </c>
    </row>
    <row r="33">
      <c r="A33" s="12" t="inlineStr">
        <is>
          <t>Cumulative revenue</t>
        </is>
      </c>
      <c r="C33" s="32">
        <f>C31</f>
        <v/>
      </c>
      <c r="D33" s="32">
        <f>C33+D31</f>
        <v/>
      </c>
      <c r="E33" s="32">
        <f>D33+E31</f>
        <v/>
      </c>
      <c r="F33" s="32">
        <f>E33+F31</f>
        <v/>
      </c>
      <c r="G33" s="32">
        <f>F33+G31</f>
        <v/>
      </c>
      <c r="H33" s="32">
        <f>G33+H31</f>
        <v/>
      </c>
      <c r="I33" s="32">
        <f>H33+I31</f>
        <v/>
      </c>
      <c r="J33" s="32">
        <f>I33+J31</f>
        <v/>
      </c>
      <c r="K33" s="32">
        <f>J33+K31</f>
        <v/>
      </c>
      <c r="L33" s="32">
        <f>K33+L31</f>
        <v/>
      </c>
      <c r="M33" s="32">
        <f>L33+M31</f>
        <v/>
      </c>
      <c r="N33" s="32">
        <f>M33+N31</f>
        <v/>
      </c>
      <c r="O33" s="32">
        <f>N33+O31</f>
        <v/>
      </c>
      <c r="P33" s="32">
        <f>O33+P31</f>
        <v/>
      </c>
      <c r="Q33" s="32">
        <f>P33+Q31</f>
        <v/>
      </c>
      <c r="R33" s="32">
        <f>Q33+R31</f>
        <v/>
      </c>
      <c r="S33" s="32">
        <f>R33+S31</f>
        <v/>
      </c>
      <c r="T33" s="32">
        <f>S33+T31</f>
        <v/>
      </c>
      <c r="U33" s="32">
        <f>T33+U31</f>
        <v/>
      </c>
      <c r="V33" s="32">
        <f>U33+V31</f>
        <v/>
      </c>
      <c r="W33" s="32">
        <f>V33+W31</f>
        <v/>
      </c>
      <c r="X33" s="32">
        <f>W33+X31</f>
        <v/>
      </c>
      <c r="Y33" s="32">
        <f>X33+Y31</f>
        <v/>
      </c>
      <c r="Z33" s="32">
        <f>Y33+Z31</f>
        <v/>
      </c>
      <c r="AA33" s="32">
        <f>Z33+AA31</f>
        <v/>
      </c>
      <c r="AB33" s="32">
        <f>AA33+AB31</f>
        <v/>
      </c>
      <c r="AC33" s="32">
        <f>AB33+AC31</f>
        <v/>
      </c>
      <c r="AD33" s="32">
        <f>AC33+AD31</f>
        <v/>
      </c>
      <c r="AE33" s="32">
        <f>AD33+AE31</f>
        <v/>
      </c>
      <c r="AF33" s="32">
        <f>AE33+AF31</f>
        <v/>
      </c>
      <c r="AG33" s="32">
        <f>AF33+AG31</f>
        <v/>
      </c>
      <c r="AH33" s="32">
        <f>AG33+AH31</f>
        <v/>
      </c>
      <c r="AI33" s="32">
        <f>AH33+AI31</f>
        <v/>
      </c>
      <c r="AJ33" s="32">
        <f>AI33+AJ31</f>
        <v/>
      </c>
      <c r="AK33" s="32">
        <f>AJ33+AK31</f>
        <v/>
      </c>
      <c r="AL33" s="32">
        <f>AK33+AL31</f>
        <v/>
      </c>
    </row>
    <row r="35">
      <c r="A35" t="inlineStr">
        <is>
          <t xml:space="preserve">  mix: Supporter</t>
        </is>
      </c>
      <c r="C35" s="32">
        <f>C10</f>
        <v/>
      </c>
      <c r="D35" s="32">
        <f>D10</f>
        <v/>
      </c>
      <c r="E35" s="32">
        <f>E10</f>
        <v/>
      </c>
      <c r="F35" s="32">
        <f>F10</f>
        <v/>
      </c>
      <c r="G35" s="32">
        <f>G10</f>
        <v/>
      </c>
      <c r="H35" s="32">
        <f>H10</f>
        <v/>
      </c>
      <c r="I35" s="32">
        <f>I10</f>
        <v/>
      </c>
      <c r="J35" s="32">
        <f>J10</f>
        <v/>
      </c>
      <c r="K35" s="32">
        <f>K10</f>
        <v/>
      </c>
      <c r="L35" s="32">
        <f>L10</f>
        <v/>
      </c>
      <c r="M35" s="32">
        <f>M10</f>
        <v/>
      </c>
      <c r="N35" s="32">
        <f>N10</f>
        <v/>
      </c>
      <c r="O35" s="32">
        <f>O10</f>
        <v/>
      </c>
      <c r="P35" s="32">
        <f>P10</f>
        <v/>
      </c>
      <c r="Q35" s="32">
        <f>Q10</f>
        <v/>
      </c>
      <c r="R35" s="32">
        <f>R10</f>
        <v/>
      </c>
      <c r="S35" s="32">
        <f>S10</f>
        <v/>
      </c>
      <c r="T35" s="32">
        <f>T10</f>
        <v/>
      </c>
      <c r="U35" s="32">
        <f>U10</f>
        <v/>
      </c>
      <c r="V35" s="32">
        <f>V10</f>
        <v/>
      </c>
      <c r="W35" s="32">
        <f>W10</f>
        <v/>
      </c>
      <c r="X35" s="32">
        <f>X10</f>
        <v/>
      </c>
      <c r="Y35" s="32">
        <f>Y10</f>
        <v/>
      </c>
      <c r="Z35" s="32">
        <f>Z10</f>
        <v/>
      </c>
      <c r="AA35" s="32">
        <f>AA10</f>
        <v/>
      </c>
      <c r="AB35" s="32">
        <f>AB10</f>
        <v/>
      </c>
      <c r="AC35" s="32">
        <f>AC10</f>
        <v/>
      </c>
      <c r="AD35" s="32">
        <f>AD10</f>
        <v/>
      </c>
      <c r="AE35" s="32">
        <f>AE10</f>
        <v/>
      </c>
      <c r="AF35" s="32">
        <f>AF10</f>
        <v/>
      </c>
      <c r="AG35" s="32">
        <f>AG10</f>
        <v/>
      </c>
      <c r="AH35" s="32">
        <f>AH10</f>
        <v/>
      </c>
      <c r="AI35" s="32">
        <f>AI10</f>
        <v/>
      </c>
      <c r="AJ35" s="32">
        <f>AJ10</f>
        <v/>
      </c>
      <c r="AK35" s="32">
        <f>AK10</f>
        <v/>
      </c>
      <c r="AL35" s="32">
        <f>AL10</f>
        <v/>
      </c>
    </row>
    <row r="36">
      <c r="A36" t="inlineStr">
        <is>
          <t xml:space="preserve">  mix: Pro</t>
        </is>
      </c>
      <c r="C36" s="32">
        <f>C15</f>
        <v/>
      </c>
      <c r="D36" s="32">
        <f>D15</f>
        <v/>
      </c>
      <c r="E36" s="32">
        <f>E15</f>
        <v/>
      </c>
      <c r="F36" s="32">
        <f>F15</f>
        <v/>
      </c>
      <c r="G36" s="32">
        <f>G15</f>
        <v/>
      </c>
      <c r="H36" s="32">
        <f>H15</f>
        <v/>
      </c>
      <c r="I36" s="32">
        <f>I15</f>
        <v/>
      </c>
      <c r="J36" s="32">
        <f>J15</f>
        <v/>
      </c>
      <c r="K36" s="32">
        <f>K15</f>
        <v/>
      </c>
      <c r="L36" s="32">
        <f>L15</f>
        <v/>
      </c>
      <c r="M36" s="32">
        <f>M15</f>
        <v/>
      </c>
      <c r="N36" s="32">
        <f>N15</f>
        <v/>
      </c>
      <c r="O36" s="32">
        <f>O15</f>
        <v/>
      </c>
      <c r="P36" s="32">
        <f>P15</f>
        <v/>
      </c>
      <c r="Q36" s="32">
        <f>Q15</f>
        <v/>
      </c>
      <c r="R36" s="32">
        <f>R15</f>
        <v/>
      </c>
      <c r="S36" s="32">
        <f>S15</f>
        <v/>
      </c>
      <c r="T36" s="32">
        <f>T15</f>
        <v/>
      </c>
      <c r="U36" s="32">
        <f>U15</f>
        <v/>
      </c>
      <c r="V36" s="32">
        <f>V15</f>
        <v/>
      </c>
      <c r="W36" s="32">
        <f>W15</f>
        <v/>
      </c>
      <c r="X36" s="32">
        <f>X15</f>
        <v/>
      </c>
      <c r="Y36" s="32">
        <f>Y15</f>
        <v/>
      </c>
      <c r="Z36" s="32">
        <f>Z15</f>
        <v/>
      </c>
      <c r="AA36" s="32">
        <f>AA15</f>
        <v/>
      </c>
      <c r="AB36" s="32">
        <f>AB15</f>
        <v/>
      </c>
      <c r="AC36" s="32">
        <f>AC15</f>
        <v/>
      </c>
      <c r="AD36" s="32">
        <f>AD15</f>
        <v/>
      </c>
      <c r="AE36" s="32">
        <f>AE15</f>
        <v/>
      </c>
      <c r="AF36" s="32">
        <f>AF15</f>
        <v/>
      </c>
      <c r="AG36" s="32">
        <f>AG15</f>
        <v/>
      </c>
      <c r="AH36" s="32">
        <f>AH15</f>
        <v/>
      </c>
      <c r="AI36" s="32">
        <f>AI15</f>
        <v/>
      </c>
      <c r="AJ36" s="32">
        <f>AJ15</f>
        <v/>
      </c>
      <c r="AK36" s="32">
        <f>AK15</f>
        <v/>
      </c>
      <c r="AL36" s="32">
        <f>AL15</f>
        <v/>
      </c>
    </row>
    <row r="37">
      <c r="A37" t="inlineStr">
        <is>
          <t xml:space="preserve">  mix: Cloud</t>
        </is>
      </c>
      <c r="C37" s="32">
        <f>C17</f>
        <v/>
      </c>
      <c r="D37" s="32">
        <f>D17</f>
        <v/>
      </c>
      <c r="E37" s="32">
        <f>E17</f>
        <v/>
      </c>
      <c r="F37" s="32">
        <f>F17</f>
        <v/>
      </c>
      <c r="G37" s="32">
        <f>G17</f>
        <v/>
      </c>
      <c r="H37" s="32">
        <f>H17</f>
        <v/>
      </c>
      <c r="I37" s="32">
        <f>I17</f>
        <v/>
      </c>
      <c r="J37" s="32">
        <f>J17</f>
        <v/>
      </c>
      <c r="K37" s="32">
        <f>K17</f>
        <v/>
      </c>
      <c r="L37" s="32">
        <f>L17</f>
        <v/>
      </c>
      <c r="M37" s="32">
        <f>M17</f>
        <v/>
      </c>
      <c r="N37" s="32">
        <f>N17</f>
        <v/>
      </c>
      <c r="O37" s="32">
        <f>O17</f>
        <v/>
      </c>
      <c r="P37" s="32">
        <f>P17</f>
        <v/>
      </c>
      <c r="Q37" s="32">
        <f>Q17</f>
        <v/>
      </c>
      <c r="R37" s="32">
        <f>R17</f>
        <v/>
      </c>
      <c r="S37" s="32">
        <f>S17</f>
        <v/>
      </c>
      <c r="T37" s="32">
        <f>T17</f>
        <v/>
      </c>
      <c r="U37" s="32">
        <f>U17</f>
        <v/>
      </c>
      <c r="V37" s="32">
        <f>V17</f>
        <v/>
      </c>
      <c r="W37" s="32">
        <f>W17</f>
        <v/>
      </c>
      <c r="X37" s="32">
        <f>X17</f>
        <v/>
      </c>
      <c r="Y37" s="32">
        <f>Y17</f>
        <v/>
      </c>
      <c r="Z37" s="32">
        <f>Z17</f>
        <v/>
      </c>
      <c r="AA37" s="32">
        <f>AA17</f>
        <v/>
      </c>
      <c r="AB37" s="32">
        <f>AB17</f>
        <v/>
      </c>
      <c r="AC37" s="32">
        <f>AC17</f>
        <v/>
      </c>
      <c r="AD37" s="32">
        <f>AD17</f>
        <v/>
      </c>
      <c r="AE37" s="32">
        <f>AE17</f>
        <v/>
      </c>
      <c r="AF37" s="32">
        <f>AF17</f>
        <v/>
      </c>
      <c r="AG37" s="32">
        <f>AG17</f>
        <v/>
      </c>
      <c r="AH37" s="32">
        <f>AH17</f>
        <v/>
      </c>
      <c r="AI37" s="32">
        <f>AI17</f>
        <v/>
      </c>
      <c r="AJ37" s="32">
        <f>AJ17</f>
        <v/>
      </c>
      <c r="AK37" s="32">
        <f>AK17</f>
        <v/>
      </c>
      <c r="AL37" s="32">
        <f>AL17</f>
        <v/>
      </c>
    </row>
    <row r="38">
      <c r="A38" t="inlineStr">
        <is>
          <t xml:space="preserve">  mix: Content</t>
        </is>
      </c>
      <c r="C38" s="32">
        <f>C21+C22</f>
        <v/>
      </c>
      <c r="D38" s="32">
        <f>D21+D22</f>
        <v/>
      </c>
      <c r="E38" s="32">
        <f>E21+E22</f>
        <v/>
      </c>
      <c r="F38" s="32">
        <f>F21+F22</f>
        <v/>
      </c>
      <c r="G38" s="32">
        <f>G21+G22</f>
        <v/>
      </c>
      <c r="H38" s="32">
        <f>H21+H22</f>
        <v/>
      </c>
      <c r="I38" s="32">
        <f>I21+I22</f>
        <v/>
      </c>
      <c r="J38" s="32">
        <f>J21+J22</f>
        <v/>
      </c>
      <c r="K38" s="32">
        <f>K21+K22</f>
        <v/>
      </c>
      <c r="L38" s="32">
        <f>L21+L22</f>
        <v/>
      </c>
      <c r="M38" s="32">
        <f>M21+M22</f>
        <v/>
      </c>
      <c r="N38" s="32">
        <f>N21+N22</f>
        <v/>
      </c>
      <c r="O38" s="32">
        <f>O21+O22</f>
        <v/>
      </c>
      <c r="P38" s="32">
        <f>P21+P22</f>
        <v/>
      </c>
      <c r="Q38" s="32">
        <f>Q21+Q22</f>
        <v/>
      </c>
      <c r="R38" s="32">
        <f>R21+R22</f>
        <v/>
      </c>
      <c r="S38" s="32">
        <f>S21+S22</f>
        <v/>
      </c>
      <c r="T38" s="32">
        <f>T21+T22</f>
        <v/>
      </c>
      <c r="U38" s="32">
        <f>U21+U22</f>
        <v/>
      </c>
      <c r="V38" s="32">
        <f>V21+V22</f>
        <v/>
      </c>
      <c r="W38" s="32">
        <f>W21+W22</f>
        <v/>
      </c>
      <c r="X38" s="32">
        <f>X21+X22</f>
        <v/>
      </c>
      <c r="Y38" s="32">
        <f>Y21+Y22</f>
        <v/>
      </c>
      <c r="Z38" s="32">
        <f>Z21+Z22</f>
        <v/>
      </c>
      <c r="AA38" s="32">
        <f>AA21+AA22</f>
        <v/>
      </c>
      <c r="AB38" s="32">
        <f>AB21+AB22</f>
        <v/>
      </c>
      <c r="AC38" s="32">
        <f>AC21+AC22</f>
        <v/>
      </c>
      <c r="AD38" s="32">
        <f>AD21+AD22</f>
        <v/>
      </c>
      <c r="AE38" s="32">
        <f>AE21+AE22</f>
        <v/>
      </c>
      <c r="AF38" s="32">
        <f>AF21+AF22</f>
        <v/>
      </c>
      <c r="AG38" s="32">
        <f>AG21+AG22</f>
        <v/>
      </c>
      <c r="AH38" s="32">
        <f>AH21+AH22</f>
        <v/>
      </c>
      <c r="AI38" s="32">
        <f>AI21+AI22</f>
        <v/>
      </c>
      <c r="AJ38" s="32">
        <f>AJ21+AJ22</f>
        <v/>
      </c>
      <c r="AK38" s="32">
        <f>AK21+AK22</f>
        <v/>
      </c>
      <c r="AL38" s="32">
        <f>AL21+AL22</f>
        <v/>
      </c>
    </row>
    <row r="39">
      <c r="A39" t="inlineStr">
        <is>
          <t xml:space="preserve">  mix: Services</t>
        </is>
      </c>
      <c r="C39" s="32">
        <f>C26+C29</f>
        <v/>
      </c>
      <c r="D39" s="32">
        <f>D26+D29</f>
        <v/>
      </c>
      <c r="E39" s="32">
        <f>E26+E29</f>
        <v/>
      </c>
      <c r="F39" s="32">
        <f>F26+F29</f>
        <v/>
      </c>
      <c r="G39" s="32">
        <f>G26+G29</f>
        <v/>
      </c>
      <c r="H39" s="32">
        <f>H26+H29</f>
        <v/>
      </c>
      <c r="I39" s="32">
        <f>I26+I29</f>
        <v/>
      </c>
      <c r="J39" s="32">
        <f>J26+J29</f>
        <v/>
      </c>
      <c r="K39" s="32">
        <f>K26+K29</f>
        <v/>
      </c>
      <c r="L39" s="32">
        <f>L26+L29</f>
        <v/>
      </c>
      <c r="M39" s="32">
        <f>M26+M29</f>
        <v/>
      </c>
      <c r="N39" s="32">
        <f>N26+N29</f>
        <v/>
      </c>
      <c r="O39" s="32">
        <f>O26+O29</f>
        <v/>
      </c>
      <c r="P39" s="32">
        <f>P26+P29</f>
        <v/>
      </c>
      <c r="Q39" s="32">
        <f>Q26+Q29</f>
        <v/>
      </c>
      <c r="R39" s="32">
        <f>R26+R29</f>
        <v/>
      </c>
      <c r="S39" s="32">
        <f>S26+S29</f>
        <v/>
      </c>
      <c r="T39" s="32">
        <f>T26+T29</f>
        <v/>
      </c>
      <c r="U39" s="32">
        <f>U26+U29</f>
        <v/>
      </c>
      <c r="V39" s="32">
        <f>V26+V29</f>
        <v/>
      </c>
      <c r="W39" s="32">
        <f>W26+W29</f>
        <v/>
      </c>
      <c r="X39" s="32">
        <f>X26+X29</f>
        <v/>
      </c>
      <c r="Y39" s="32">
        <f>Y26+Y29</f>
        <v/>
      </c>
      <c r="Z39" s="32">
        <f>Z26+Z29</f>
        <v/>
      </c>
      <c r="AA39" s="32">
        <f>AA26+AA29</f>
        <v/>
      </c>
      <c r="AB39" s="32">
        <f>AB26+AB29</f>
        <v/>
      </c>
      <c r="AC39" s="32">
        <f>AC26+AC29</f>
        <v/>
      </c>
      <c r="AD39" s="32">
        <f>AD26+AD29</f>
        <v/>
      </c>
      <c r="AE39" s="32">
        <f>AE26+AE29</f>
        <v/>
      </c>
      <c r="AF39" s="32">
        <f>AF26+AF29</f>
        <v/>
      </c>
      <c r="AG39" s="32">
        <f>AG26+AG29</f>
        <v/>
      </c>
      <c r="AH39" s="32">
        <f>AH26+AH29</f>
        <v/>
      </c>
      <c r="AI39" s="32">
        <f>AI26+AI29</f>
        <v/>
      </c>
      <c r="AJ39" s="32">
        <f>AJ26+AJ29</f>
        <v/>
      </c>
      <c r="AK39" s="32">
        <f>AK26+AK29</f>
        <v/>
      </c>
      <c r="AL39" s="32">
        <f>AL26+AL29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2" t="inlineStr">
        <is>
          <t>Bull ENGINE  (drives off Assumptions col D)</t>
        </is>
      </c>
    </row>
    <row r="2">
      <c r="A2" s="3" t="inlineStr">
        <is>
          <t>Month</t>
        </is>
      </c>
      <c r="C2" s="29" t="n">
        <v>1</v>
      </c>
      <c r="D2" s="29" t="n">
        <v>2</v>
      </c>
      <c r="E2" s="29" t="n">
        <v>3</v>
      </c>
      <c r="F2" s="29" t="n">
        <v>4</v>
      </c>
      <c r="G2" s="29" t="n">
        <v>5</v>
      </c>
      <c r="H2" s="29" t="n">
        <v>6</v>
      </c>
      <c r="I2" s="29" t="n">
        <v>7</v>
      </c>
      <c r="J2" s="29" t="n">
        <v>8</v>
      </c>
      <c r="K2" s="29" t="n">
        <v>9</v>
      </c>
      <c r="L2" s="29" t="n">
        <v>10</v>
      </c>
      <c r="M2" s="29" t="n">
        <v>11</v>
      </c>
      <c r="N2" s="29" t="n">
        <v>12</v>
      </c>
      <c r="O2" s="29" t="n">
        <v>13</v>
      </c>
      <c r="P2" s="29" t="n">
        <v>14</v>
      </c>
      <c r="Q2" s="29" t="n">
        <v>15</v>
      </c>
      <c r="R2" s="29" t="n">
        <v>16</v>
      </c>
      <c r="S2" s="29" t="n">
        <v>17</v>
      </c>
      <c r="T2" s="29" t="n">
        <v>18</v>
      </c>
      <c r="U2" s="29" t="n">
        <v>19</v>
      </c>
      <c r="V2" s="29" t="n">
        <v>20</v>
      </c>
      <c r="W2" s="29" t="n">
        <v>21</v>
      </c>
      <c r="X2" s="29" t="n">
        <v>22</v>
      </c>
      <c r="Y2" s="29" t="n">
        <v>23</v>
      </c>
      <c r="Z2" s="29" t="n">
        <v>24</v>
      </c>
      <c r="AA2" s="29" t="n">
        <v>25</v>
      </c>
      <c r="AB2" s="29" t="n">
        <v>26</v>
      </c>
      <c r="AC2" s="29" t="n">
        <v>27</v>
      </c>
      <c r="AD2" s="29" t="n">
        <v>28</v>
      </c>
      <c r="AE2" s="29" t="n">
        <v>29</v>
      </c>
      <c r="AF2" s="29" t="n">
        <v>30</v>
      </c>
      <c r="AG2" s="29" t="n">
        <v>31</v>
      </c>
      <c r="AH2" s="29" t="n">
        <v>32</v>
      </c>
      <c r="AI2" s="29" t="n">
        <v>33</v>
      </c>
      <c r="AJ2" s="29" t="n">
        <v>34</v>
      </c>
      <c r="AK2" s="29" t="n">
        <v>35</v>
      </c>
      <c r="AL2" s="29" t="n">
        <v>36</v>
      </c>
    </row>
    <row r="3">
      <c r="A3" s="3" t="inlineStr">
        <is>
          <t>Year</t>
        </is>
      </c>
      <c r="C3" s="30" t="n">
        <v>1</v>
      </c>
      <c r="D3" s="30" t="n">
        <v>1</v>
      </c>
      <c r="E3" s="30" t="n">
        <v>1</v>
      </c>
      <c r="F3" s="30" t="n">
        <v>1</v>
      </c>
      <c r="G3" s="30" t="n">
        <v>1</v>
      </c>
      <c r="H3" s="30" t="n">
        <v>1</v>
      </c>
      <c r="I3" s="30" t="n">
        <v>1</v>
      </c>
      <c r="J3" s="30" t="n">
        <v>1</v>
      </c>
      <c r="K3" s="30" t="n">
        <v>1</v>
      </c>
      <c r="L3" s="30" t="n">
        <v>1</v>
      </c>
      <c r="M3" s="30" t="n">
        <v>1</v>
      </c>
      <c r="N3" s="30" t="n">
        <v>1</v>
      </c>
      <c r="O3" s="30" t="n">
        <v>2</v>
      </c>
      <c r="P3" s="30" t="n">
        <v>2</v>
      </c>
      <c r="Q3" s="30" t="n">
        <v>2</v>
      </c>
      <c r="R3" s="30" t="n">
        <v>2</v>
      </c>
      <c r="S3" s="30" t="n">
        <v>2</v>
      </c>
      <c r="T3" s="30" t="n">
        <v>2</v>
      </c>
      <c r="U3" s="30" t="n">
        <v>2</v>
      </c>
      <c r="V3" s="30" t="n">
        <v>2</v>
      </c>
      <c r="W3" s="30" t="n">
        <v>2</v>
      </c>
      <c r="X3" s="30" t="n">
        <v>2</v>
      </c>
      <c r="Y3" s="30" t="n">
        <v>2</v>
      </c>
      <c r="Z3" s="30" t="n">
        <v>2</v>
      </c>
      <c r="AA3" s="30" t="n">
        <v>3</v>
      </c>
      <c r="AB3" s="30" t="n">
        <v>3</v>
      </c>
      <c r="AC3" s="30" t="n">
        <v>3</v>
      </c>
      <c r="AD3" s="30" t="n">
        <v>3</v>
      </c>
      <c r="AE3" s="30" t="n">
        <v>3</v>
      </c>
      <c r="AF3" s="30" t="n">
        <v>3</v>
      </c>
      <c r="AG3" s="30" t="n">
        <v>3</v>
      </c>
      <c r="AH3" s="30" t="n">
        <v>3</v>
      </c>
      <c r="AI3" s="30" t="n">
        <v>3</v>
      </c>
      <c r="AJ3" s="30" t="n">
        <v>3</v>
      </c>
      <c r="AK3" s="30" t="n">
        <v>3</v>
      </c>
      <c r="AL3" s="30" t="n">
        <v>3</v>
      </c>
    </row>
    <row r="5">
      <c r="A5" t="inlineStr">
        <is>
          <t>Active installs</t>
        </is>
      </c>
      <c r="C5" s="31">
        <f>Assumptions!$D$5</f>
        <v/>
      </c>
      <c r="D5" s="31">
        <f>C5*(1+Assumptions!$D$6*POWER(Assumptions!$D$11,D2-1))</f>
        <v/>
      </c>
      <c r="E5" s="31">
        <f>D5*(1+Assumptions!$D$6*POWER(Assumptions!$D$11,E2-1))</f>
        <v/>
      </c>
      <c r="F5" s="31">
        <f>E5*(1+Assumptions!$D$6*POWER(Assumptions!$D$11,F2-1))</f>
        <v/>
      </c>
      <c r="G5" s="31">
        <f>F5*(1+Assumptions!$D$6*POWER(Assumptions!$D$11,G2-1))</f>
        <v/>
      </c>
      <c r="H5" s="31">
        <f>G5*(1+Assumptions!$D$6*POWER(Assumptions!$D$11,H2-1))</f>
        <v/>
      </c>
      <c r="I5" s="31">
        <f>H5*(1+Assumptions!$D$6*POWER(Assumptions!$D$11,I2-1))</f>
        <v/>
      </c>
      <c r="J5" s="31">
        <f>I5*(1+Assumptions!$D$6*POWER(Assumptions!$D$11,J2-1))</f>
        <v/>
      </c>
      <c r="K5" s="31">
        <f>J5*(1+Assumptions!$D$6*POWER(Assumptions!$D$11,K2-1))</f>
        <v/>
      </c>
      <c r="L5" s="31">
        <f>K5*(1+Assumptions!$D$6*POWER(Assumptions!$D$11,L2-1))</f>
        <v/>
      </c>
      <c r="M5" s="31">
        <f>L5*(1+Assumptions!$D$6*POWER(Assumptions!$D$11,M2-1))</f>
        <v/>
      </c>
      <c r="N5" s="31">
        <f>M5*(1+Assumptions!$D$6*POWER(Assumptions!$D$11,N2-1))</f>
        <v/>
      </c>
      <c r="O5" s="31">
        <f>N5*(1+Assumptions!$D$6*POWER(Assumptions!$D$11,O2-1))</f>
        <v/>
      </c>
      <c r="P5" s="31">
        <f>O5*(1+Assumptions!$D$6*POWER(Assumptions!$D$11,P2-1))</f>
        <v/>
      </c>
      <c r="Q5" s="31">
        <f>P5*(1+Assumptions!$D$6*POWER(Assumptions!$D$11,Q2-1))</f>
        <v/>
      </c>
      <c r="R5" s="31">
        <f>Q5*(1+Assumptions!$D$6*POWER(Assumptions!$D$11,R2-1))</f>
        <v/>
      </c>
      <c r="S5" s="31">
        <f>R5*(1+Assumptions!$D$6*POWER(Assumptions!$D$11,S2-1))</f>
        <v/>
      </c>
      <c r="T5" s="31">
        <f>S5*(1+Assumptions!$D$6*POWER(Assumptions!$D$11,T2-1))</f>
        <v/>
      </c>
      <c r="U5" s="31">
        <f>T5*(1+Assumptions!$D$6*POWER(Assumptions!$D$11,U2-1))</f>
        <v/>
      </c>
      <c r="V5" s="31">
        <f>U5*(1+Assumptions!$D$6*POWER(Assumptions!$D$11,V2-1))</f>
        <v/>
      </c>
      <c r="W5" s="31">
        <f>V5*(1+Assumptions!$D$6*POWER(Assumptions!$D$11,W2-1))</f>
        <v/>
      </c>
      <c r="X5" s="31">
        <f>W5*(1+Assumptions!$D$6*POWER(Assumptions!$D$11,X2-1))</f>
        <v/>
      </c>
      <c r="Y5" s="31">
        <f>X5*(1+Assumptions!$D$6*POWER(Assumptions!$D$11,Y2-1))</f>
        <v/>
      </c>
      <c r="Z5" s="31">
        <f>Y5*(1+Assumptions!$D$6*POWER(Assumptions!$D$11,Z2-1))</f>
        <v/>
      </c>
      <c r="AA5" s="31">
        <f>Z5*(1+Assumptions!$D$6*POWER(Assumptions!$D$11,AA2-1))</f>
        <v/>
      </c>
      <c r="AB5" s="31">
        <f>AA5*(1+Assumptions!$D$6*POWER(Assumptions!$D$11,AB2-1))</f>
        <v/>
      </c>
      <c r="AC5" s="31">
        <f>AB5*(1+Assumptions!$D$6*POWER(Assumptions!$D$11,AC2-1))</f>
        <v/>
      </c>
      <c r="AD5" s="31">
        <f>AC5*(1+Assumptions!$D$6*POWER(Assumptions!$D$11,AD2-1))</f>
        <v/>
      </c>
      <c r="AE5" s="31">
        <f>AD5*(1+Assumptions!$D$6*POWER(Assumptions!$D$11,AE2-1))</f>
        <v/>
      </c>
      <c r="AF5" s="31">
        <f>AE5*(1+Assumptions!$D$6*POWER(Assumptions!$D$11,AF2-1))</f>
        <v/>
      </c>
      <c r="AG5" s="31">
        <f>AF5*(1+Assumptions!$D$6*POWER(Assumptions!$D$11,AG2-1))</f>
        <v/>
      </c>
      <c r="AH5" s="31">
        <f>AG5*(1+Assumptions!$D$6*POWER(Assumptions!$D$11,AH2-1))</f>
        <v/>
      </c>
      <c r="AI5" s="31">
        <f>AH5*(1+Assumptions!$D$6*POWER(Assumptions!$D$11,AI2-1))</f>
        <v/>
      </c>
      <c r="AJ5" s="31">
        <f>AI5*(1+Assumptions!$D$6*POWER(Assumptions!$D$11,AJ2-1))</f>
        <v/>
      </c>
      <c r="AK5" s="31">
        <f>AJ5*(1+Assumptions!$D$6*POWER(Assumptions!$D$11,AK2-1))</f>
        <v/>
      </c>
      <c r="AL5" s="31">
        <f>AK5*(1+Assumptions!$D$6*POWER(Assumptions!$D$11,AL2-1))</f>
        <v/>
      </c>
    </row>
    <row r="6">
      <c r="A6" t="inlineStr">
        <is>
          <t>Email subscribers</t>
        </is>
      </c>
      <c r="C6" s="31">
        <f>Assumptions!$D$7</f>
        <v/>
      </c>
      <c r="D6" s="31">
        <f>C6*(1+Assumptions!$D$8*POWER(Assumptions!$D$11,D2-1))</f>
        <v/>
      </c>
      <c r="E6" s="31">
        <f>D6*(1+Assumptions!$D$8*POWER(Assumptions!$D$11,E2-1))</f>
        <v/>
      </c>
      <c r="F6" s="31">
        <f>E6*(1+Assumptions!$D$8*POWER(Assumptions!$D$11,F2-1))</f>
        <v/>
      </c>
      <c r="G6" s="31">
        <f>F6*(1+Assumptions!$D$8*POWER(Assumptions!$D$11,G2-1))</f>
        <v/>
      </c>
      <c r="H6" s="31">
        <f>G6*(1+Assumptions!$D$8*POWER(Assumptions!$D$11,H2-1))</f>
        <v/>
      </c>
      <c r="I6" s="31">
        <f>H6*(1+Assumptions!$D$8*POWER(Assumptions!$D$11,I2-1))</f>
        <v/>
      </c>
      <c r="J6" s="31">
        <f>I6*(1+Assumptions!$D$8*POWER(Assumptions!$D$11,J2-1))</f>
        <v/>
      </c>
      <c r="K6" s="31">
        <f>J6*(1+Assumptions!$D$8*POWER(Assumptions!$D$11,K2-1))</f>
        <v/>
      </c>
      <c r="L6" s="31">
        <f>K6*(1+Assumptions!$D$8*POWER(Assumptions!$D$11,L2-1))</f>
        <v/>
      </c>
      <c r="M6" s="31">
        <f>L6*(1+Assumptions!$D$8*POWER(Assumptions!$D$11,M2-1))</f>
        <v/>
      </c>
      <c r="N6" s="31">
        <f>M6*(1+Assumptions!$D$8*POWER(Assumptions!$D$11,N2-1))</f>
        <v/>
      </c>
      <c r="O6" s="31">
        <f>N6*(1+Assumptions!$D$8*POWER(Assumptions!$D$11,O2-1))</f>
        <v/>
      </c>
      <c r="P6" s="31">
        <f>O6*(1+Assumptions!$D$8*POWER(Assumptions!$D$11,P2-1))</f>
        <v/>
      </c>
      <c r="Q6" s="31">
        <f>P6*(1+Assumptions!$D$8*POWER(Assumptions!$D$11,Q2-1))</f>
        <v/>
      </c>
      <c r="R6" s="31">
        <f>Q6*(1+Assumptions!$D$8*POWER(Assumptions!$D$11,R2-1))</f>
        <v/>
      </c>
      <c r="S6" s="31">
        <f>R6*(1+Assumptions!$D$8*POWER(Assumptions!$D$11,S2-1))</f>
        <v/>
      </c>
      <c r="T6" s="31">
        <f>S6*(1+Assumptions!$D$8*POWER(Assumptions!$D$11,T2-1))</f>
        <v/>
      </c>
      <c r="U6" s="31">
        <f>T6*(1+Assumptions!$D$8*POWER(Assumptions!$D$11,U2-1))</f>
        <v/>
      </c>
      <c r="V6" s="31">
        <f>U6*(1+Assumptions!$D$8*POWER(Assumptions!$D$11,V2-1))</f>
        <v/>
      </c>
      <c r="W6" s="31">
        <f>V6*(1+Assumptions!$D$8*POWER(Assumptions!$D$11,W2-1))</f>
        <v/>
      </c>
      <c r="X6" s="31">
        <f>W6*(1+Assumptions!$D$8*POWER(Assumptions!$D$11,X2-1))</f>
        <v/>
      </c>
      <c r="Y6" s="31">
        <f>X6*(1+Assumptions!$D$8*POWER(Assumptions!$D$11,Y2-1))</f>
        <v/>
      </c>
      <c r="Z6" s="31">
        <f>Y6*(1+Assumptions!$D$8*POWER(Assumptions!$D$11,Z2-1))</f>
        <v/>
      </c>
      <c r="AA6" s="31">
        <f>Z6*(1+Assumptions!$D$8*POWER(Assumptions!$D$11,AA2-1))</f>
        <v/>
      </c>
      <c r="AB6" s="31">
        <f>AA6*(1+Assumptions!$D$8*POWER(Assumptions!$D$11,AB2-1))</f>
        <v/>
      </c>
      <c r="AC6" s="31">
        <f>AB6*(1+Assumptions!$D$8*POWER(Assumptions!$D$11,AC2-1))</f>
        <v/>
      </c>
      <c r="AD6" s="31">
        <f>AC6*(1+Assumptions!$D$8*POWER(Assumptions!$D$11,AD2-1))</f>
        <v/>
      </c>
      <c r="AE6" s="31">
        <f>AD6*(1+Assumptions!$D$8*POWER(Assumptions!$D$11,AE2-1))</f>
        <v/>
      </c>
      <c r="AF6" s="31">
        <f>AE6*(1+Assumptions!$D$8*POWER(Assumptions!$D$11,AF2-1))</f>
        <v/>
      </c>
      <c r="AG6" s="31">
        <f>AF6*(1+Assumptions!$D$8*POWER(Assumptions!$D$11,AG2-1))</f>
        <v/>
      </c>
      <c r="AH6" s="31">
        <f>AG6*(1+Assumptions!$D$8*POWER(Assumptions!$D$11,AH2-1))</f>
        <v/>
      </c>
      <c r="AI6" s="31">
        <f>AH6*(1+Assumptions!$D$8*POWER(Assumptions!$D$11,AI2-1))</f>
        <v/>
      </c>
      <c r="AJ6" s="31">
        <f>AI6*(1+Assumptions!$D$8*POWER(Assumptions!$D$11,AJ2-1))</f>
        <v/>
      </c>
      <c r="AK6" s="31">
        <f>AJ6*(1+Assumptions!$D$8*POWER(Assumptions!$D$11,AK2-1))</f>
        <v/>
      </c>
      <c r="AL6" s="31">
        <f>AK6*(1+Assumptions!$D$8*POWER(Assumptions!$D$11,AL2-1))</f>
        <v/>
      </c>
    </row>
    <row r="7">
      <c r="A7" t="inlineStr">
        <is>
          <t>Service leads / mo</t>
        </is>
      </c>
      <c r="C7" s="31">
        <f>Assumptions!$D$9</f>
        <v/>
      </c>
      <c r="D7" s="31">
        <f>C7*(1+Assumptions!$D$10*POWER(Assumptions!$D$11,D2-1))</f>
        <v/>
      </c>
      <c r="E7" s="31">
        <f>D7*(1+Assumptions!$D$10*POWER(Assumptions!$D$11,E2-1))</f>
        <v/>
      </c>
      <c r="F7" s="31">
        <f>E7*(1+Assumptions!$D$10*POWER(Assumptions!$D$11,F2-1))</f>
        <v/>
      </c>
      <c r="G7" s="31">
        <f>F7*(1+Assumptions!$D$10*POWER(Assumptions!$D$11,G2-1))</f>
        <v/>
      </c>
      <c r="H7" s="31">
        <f>G7*(1+Assumptions!$D$10*POWER(Assumptions!$D$11,H2-1))</f>
        <v/>
      </c>
      <c r="I7" s="31">
        <f>H7*(1+Assumptions!$D$10*POWER(Assumptions!$D$11,I2-1))</f>
        <v/>
      </c>
      <c r="J7" s="31">
        <f>I7*(1+Assumptions!$D$10*POWER(Assumptions!$D$11,J2-1))</f>
        <v/>
      </c>
      <c r="K7" s="31">
        <f>J7*(1+Assumptions!$D$10*POWER(Assumptions!$D$11,K2-1))</f>
        <v/>
      </c>
      <c r="L7" s="31">
        <f>K7*(1+Assumptions!$D$10*POWER(Assumptions!$D$11,L2-1))</f>
        <v/>
      </c>
      <c r="M7" s="31">
        <f>L7*(1+Assumptions!$D$10*POWER(Assumptions!$D$11,M2-1))</f>
        <v/>
      </c>
      <c r="N7" s="31">
        <f>M7*(1+Assumptions!$D$10*POWER(Assumptions!$D$11,N2-1))</f>
        <v/>
      </c>
      <c r="O7" s="31">
        <f>N7*(1+Assumptions!$D$10*POWER(Assumptions!$D$11,O2-1))</f>
        <v/>
      </c>
      <c r="P7" s="31">
        <f>O7*(1+Assumptions!$D$10*POWER(Assumptions!$D$11,P2-1))</f>
        <v/>
      </c>
      <c r="Q7" s="31">
        <f>P7*(1+Assumptions!$D$10*POWER(Assumptions!$D$11,Q2-1))</f>
        <v/>
      </c>
      <c r="R7" s="31">
        <f>Q7*(1+Assumptions!$D$10*POWER(Assumptions!$D$11,R2-1))</f>
        <v/>
      </c>
      <c r="S7" s="31">
        <f>R7*(1+Assumptions!$D$10*POWER(Assumptions!$D$11,S2-1))</f>
        <v/>
      </c>
      <c r="T7" s="31">
        <f>S7*(1+Assumptions!$D$10*POWER(Assumptions!$D$11,T2-1))</f>
        <v/>
      </c>
      <c r="U7" s="31">
        <f>T7*(1+Assumptions!$D$10*POWER(Assumptions!$D$11,U2-1))</f>
        <v/>
      </c>
      <c r="V7" s="31">
        <f>U7*(1+Assumptions!$D$10*POWER(Assumptions!$D$11,V2-1))</f>
        <v/>
      </c>
      <c r="W7" s="31">
        <f>V7*(1+Assumptions!$D$10*POWER(Assumptions!$D$11,W2-1))</f>
        <v/>
      </c>
      <c r="X7" s="31">
        <f>W7*(1+Assumptions!$D$10*POWER(Assumptions!$D$11,X2-1))</f>
        <v/>
      </c>
      <c r="Y7" s="31">
        <f>X7*(1+Assumptions!$D$10*POWER(Assumptions!$D$11,Y2-1))</f>
        <v/>
      </c>
      <c r="Z7" s="31">
        <f>Y7*(1+Assumptions!$D$10*POWER(Assumptions!$D$11,Z2-1))</f>
        <v/>
      </c>
      <c r="AA7" s="31">
        <f>Z7*(1+Assumptions!$D$10*POWER(Assumptions!$D$11,AA2-1))</f>
        <v/>
      </c>
      <c r="AB7" s="31">
        <f>AA7*(1+Assumptions!$D$10*POWER(Assumptions!$D$11,AB2-1))</f>
        <v/>
      </c>
      <c r="AC7" s="31">
        <f>AB7*(1+Assumptions!$D$10*POWER(Assumptions!$D$11,AC2-1))</f>
        <v/>
      </c>
      <c r="AD7" s="31">
        <f>AC7*(1+Assumptions!$D$10*POWER(Assumptions!$D$11,AD2-1))</f>
        <v/>
      </c>
      <c r="AE7" s="31">
        <f>AD7*(1+Assumptions!$D$10*POWER(Assumptions!$D$11,AE2-1))</f>
        <v/>
      </c>
      <c r="AF7" s="31">
        <f>AE7*(1+Assumptions!$D$10*POWER(Assumptions!$D$11,AF2-1))</f>
        <v/>
      </c>
      <c r="AG7" s="31">
        <f>AF7*(1+Assumptions!$D$10*POWER(Assumptions!$D$11,AG2-1))</f>
        <v/>
      </c>
      <c r="AH7" s="31">
        <f>AG7*(1+Assumptions!$D$10*POWER(Assumptions!$D$11,AH2-1))</f>
        <v/>
      </c>
      <c r="AI7" s="31">
        <f>AH7*(1+Assumptions!$D$10*POWER(Assumptions!$D$11,AI2-1))</f>
        <v/>
      </c>
      <c r="AJ7" s="31">
        <f>AI7*(1+Assumptions!$D$10*POWER(Assumptions!$D$11,AJ2-1))</f>
        <v/>
      </c>
      <c r="AK7" s="31">
        <f>AJ7*(1+Assumptions!$D$10*POWER(Assumptions!$D$11,AK2-1))</f>
        <v/>
      </c>
      <c r="AL7" s="31">
        <f>AK7*(1+Assumptions!$D$10*POWER(Assumptions!$D$11,AL2-1))</f>
        <v/>
      </c>
    </row>
    <row r="9">
      <c r="A9" t="inlineStr">
        <is>
          <t>[A] New supporter payers</t>
        </is>
      </c>
      <c r="C9" s="31">
        <f>C5*Assumptions!$D$12</f>
        <v/>
      </c>
      <c r="D9" s="31">
        <f>D5*Assumptions!$D$12</f>
        <v/>
      </c>
      <c r="E9" s="31">
        <f>E5*Assumptions!$D$12</f>
        <v/>
      </c>
      <c r="F9" s="31">
        <f>F5*Assumptions!$D$12</f>
        <v/>
      </c>
      <c r="G9" s="31">
        <f>G5*Assumptions!$D$12</f>
        <v/>
      </c>
      <c r="H9" s="31">
        <f>H5*Assumptions!$D$12</f>
        <v/>
      </c>
      <c r="I9" s="31">
        <f>I5*Assumptions!$D$12</f>
        <v/>
      </c>
      <c r="J9" s="31">
        <f>J5*Assumptions!$D$12</f>
        <v/>
      </c>
      <c r="K9" s="31">
        <f>K5*Assumptions!$D$12</f>
        <v/>
      </c>
      <c r="L9" s="31">
        <f>L5*Assumptions!$D$12</f>
        <v/>
      </c>
      <c r="M9" s="31">
        <f>M5*Assumptions!$D$12</f>
        <v/>
      </c>
      <c r="N9" s="31">
        <f>N5*Assumptions!$D$12</f>
        <v/>
      </c>
      <c r="O9" s="31">
        <f>O5*Assumptions!$D$12</f>
        <v/>
      </c>
      <c r="P9" s="31">
        <f>P5*Assumptions!$D$12</f>
        <v/>
      </c>
      <c r="Q9" s="31">
        <f>Q5*Assumptions!$D$12</f>
        <v/>
      </c>
      <c r="R9" s="31">
        <f>R5*Assumptions!$D$12</f>
        <v/>
      </c>
      <c r="S9" s="31">
        <f>S5*Assumptions!$D$12</f>
        <v/>
      </c>
      <c r="T9" s="31">
        <f>T5*Assumptions!$D$12</f>
        <v/>
      </c>
      <c r="U9" s="31">
        <f>U5*Assumptions!$D$12</f>
        <v/>
      </c>
      <c r="V9" s="31">
        <f>V5*Assumptions!$D$12</f>
        <v/>
      </c>
      <c r="W9" s="31">
        <f>W5*Assumptions!$D$12</f>
        <v/>
      </c>
      <c r="X9" s="31">
        <f>X5*Assumptions!$D$12</f>
        <v/>
      </c>
      <c r="Y9" s="31">
        <f>Y5*Assumptions!$D$12</f>
        <v/>
      </c>
      <c r="Z9" s="31">
        <f>Z5*Assumptions!$D$12</f>
        <v/>
      </c>
      <c r="AA9" s="31">
        <f>AA5*Assumptions!$D$12</f>
        <v/>
      </c>
      <c r="AB9" s="31">
        <f>AB5*Assumptions!$D$12</f>
        <v/>
      </c>
      <c r="AC9" s="31">
        <f>AC5*Assumptions!$D$12</f>
        <v/>
      </c>
      <c r="AD9" s="31">
        <f>AD5*Assumptions!$D$12</f>
        <v/>
      </c>
      <c r="AE9" s="31">
        <f>AE5*Assumptions!$D$12</f>
        <v/>
      </c>
      <c r="AF9" s="31">
        <f>AF5*Assumptions!$D$12</f>
        <v/>
      </c>
      <c r="AG9" s="31">
        <f>AG5*Assumptions!$D$12</f>
        <v/>
      </c>
      <c r="AH9" s="31">
        <f>AH5*Assumptions!$D$12</f>
        <v/>
      </c>
      <c r="AI9" s="31">
        <f>AI5*Assumptions!$D$12</f>
        <v/>
      </c>
      <c r="AJ9" s="31">
        <f>AJ5*Assumptions!$D$12</f>
        <v/>
      </c>
      <c r="AK9" s="31">
        <f>AK5*Assumptions!$D$12</f>
        <v/>
      </c>
      <c r="AL9" s="31">
        <f>AL5*Assumptions!$D$12</f>
        <v/>
      </c>
    </row>
    <row r="10">
      <c r="A10" t="inlineStr">
        <is>
          <t>[A] Supporter revenue</t>
        </is>
      </c>
      <c r="C10" s="32">
        <f>C9*Assumptions!$D$13</f>
        <v/>
      </c>
      <c r="D10" s="32">
        <f>D9*Assumptions!$D$13</f>
        <v/>
      </c>
      <c r="E10" s="32">
        <f>E9*Assumptions!$D$13</f>
        <v/>
      </c>
      <c r="F10" s="32">
        <f>F9*Assumptions!$D$13</f>
        <v/>
      </c>
      <c r="G10" s="32">
        <f>G9*Assumptions!$D$13</f>
        <v/>
      </c>
      <c r="H10" s="32">
        <f>H9*Assumptions!$D$13</f>
        <v/>
      </c>
      <c r="I10" s="32">
        <f>I9*Assumptions!$D$13</f>
        <v/>
      </c>
      <c r="J10" s="32">
        <f>J9*Assumptions!$D$13</f>
        <v/>
      </c>
      <c r="K10" s="32">
        <f>K9*Assumptions!$D$13</f>
        <v/>
      </c>
      <c r="L10" s="32">
        <f>L9*Assumptions!$D$13</f>
        <v/>
      </c>
      <c r="M10" s="32">
        <f>M9*Assumptions!$D$13</f>
        <v/>
      </c>
      <c r="N10" s="32">
        <f>N9*Assumptions!$D$13</f>
        <v/>
      </c>
      <c r="O10" s="32">
        <f>O9*Assumptions!$D$13</f>
        <v/>
      </c>
      <c r="P10" s="32">
        <f>P9*Assumptions!$D$13</f>
        <v/>
      </c>
      <c r="Q10" s="32">
        <f>Q9*Assumptions!$D$13</f>
        <v/>
      </c>
      <c r="R10" s="32">
        <f>R9*Assumptions!$D$13</f>
        <v/>
      </c>
      <c r="S10" s="32">
        <f>S9*Assumptions!$D$13</f>
        <v/>
      </c>
      <c r="T10" s="32">
        <f>T9*Assumptions!$D$13</f>
        <v/>
      </c>
      <c r="U10" s="32">
        <f>U9*Assumptions!$D$13</f>
        <v/>
      </c>
      <c r="V10" s="32">
        <f>V9*Assumptions!$D$13</f>
        <v/>
      </c>
      <c r="W10" s="32">
        <f>W9*Assumptions!$D$13</f>
        <v/>
      </c>
      <c r="X10" s="32">
        <f>X9*Assumptions!$D$13</f>
        <v/>
      </c>
      <c r="Y10" s="32">
        <f>Y9*Assumptions!$D$13</f>
        <v/>
      </c>
      <c r="Z10" s="32">
        <f>Z9*Assumptions!$D$13</f>
        <v/>
      </c>
      <c r="AA10" s="32">
        <f>AA9*Assumptions!$D$13</f>
        <v/>
      </c>
      <c r="AB10" s="32">
        <f>AB9*Assumptions!$D$13</f>
        <v/>
      </c>
      <c r="AC10" s="32">
        <f>AC9*Assumptions!$D$13</f>
        <v/>
      </c>
      <c r="AD10" s="32">
        <f>AD9*Assumptions!$D$13</f>
        <v/>
      </c>
      <c r="AE10" s="32">
        <f>AE9*Assumptions!$D$13</f>
        <v/>
      </c>
      <c r="AF10" s="32">
        <f>AF9*Assumptions!$D$13</f>
        <v/>
      </c>
      <c r="AG10" s="32">
        <f>AG9*Assumptions!$D$13</f>
        <v/>
      </c>
      <c r="AH10" s="32">
        <f>AH9*Assumptions!$D$13</f>
        <v/>
      </c>
      <c r="AI10" s="32">
        <f>AI9*Assumptions!$D$13</f>
        <v/>
      </c>
      <c r="AJ10" s="32">
        <f>AJ9*Assumptions!$D$13</f>
        <v/>
      </c>
      <c r="AK10" s="32">
        <f>AK9*Assumptions!$D$13</f>
        <v/>
      </c>
      <c r="AL10" s="32">
        <f>AL9*Assumptions!$D$13</f>
        <v/>
      </c>
    </row>
    <row r="12">
      <c r="A12" t="inlineStr">
        <is>
          <t>[B] Pro trials</t>
        </is>
      </c>
      <c r="C12" s="31">
        <f>IF(C2&gt;=Assumptions!$D$15,C5*Assumptions!$D$16,0)</f>
        <v/>
      </c>
      <c r="D12" s="31">
        <f>IF(D2&gt;=Assumptions!$D$15,D5*Assumptions!$D$16,0)</f>
        <v/>
      </c>
      <c r="E12" s="31">
        <f>IF(E2&gt;=Assumptions!$D$15,E5*Assumptions!$D$16,0)</f>
        <v/>
      </c>
      <c r="F12" s="31">
        <f>IF(F2&gt;=Assumptions!$D$15,F5*Assumptions!$D$16,0)</f>
        <v/>
      </c>
      <c r="G12" s="31">
        <f>IF(G2&gt;=Assumptions!$D$15,G5*Assumptions!$D$16,0)</f>
        <v/>
      </c>
      <c r="H12" s="31">
        <f>IF(H2&gt;=Assumptions!$D$15,H5*Assumptions!$D$16,0)</f>
        <v/>
      </c>
      <c r="I12" s="31">
        <f>IF(I2&gt;=Assumptions!$D$15,I5*Assumptions!$D$16,0)</f>
        <v/>
      </c>
      <c r="J12" s="31">
        <f>IF(J2&gt;=Assumptions!$D$15,J5*Assumptions!$D$16,0)</f>
        <v/>
      </c>
      <c r="K12" s="31">
        <f>IF(K2&gt;=Assumptions!$D$15,K5*Assumptions!$D$16,0)</f>
        <v/>
      </c>
      <c r="L12" s="31">
        <f>IF(L2&gt;=Assumptions!$D$15,L5*Assumptions!$D$16,0)</f>
        <v/>
      </c>
      <c r="M12" s="31">
        <f>IF(M2&gt;=Assumptions!$D$15,M5*Assumptions!$D$16,0)</f>
        <v/>
      </c>
      <c r="N12" s="31">
        <f>IF(N2&gt;=Assumptions!$D$15,N5*Assumptions!$D$16,0)</f>
        <v/>
      </c>
      <c r="O12" s="31">
        <f>IF(O2&gt;=Assumptions!$D$15,O5*Assumptions!$D$16,0)</f>
        <v/>
      </c>
      <c r="P12" s="31">
        <f>IF(P2&gt;=Assumptions!$D$15,P5*Assumptions!$D$16,0)</f>
        <v/>
      </c>
      <c r="Q12" s="31">
        <f>IF(Q2&gt;=Assumptions!$D$15,Q5*Assumptions!$D$16,0)</f>
        <v/>
      </c>
      <c r="R12" s="31">
        <f>IF(R2&gt;=Assumptions!$D$15,R5*Assumptions!$D$16,0)</f>
        <v/>
      </c>
      <c r="S12" s="31">
        <f>IF(S2&gt;=Assumptions!$D$15,S5*Assumptions!$D$16,0)</f>
        <v/>
      </c>
      <c r="T12" s="31">
        <f>IF(T2&gt;=Assumptions!$D$15,T5*Assumptions!$D$16,0)</f>
        <v/>
      </c>
      <c r="U12" s="31">
        <f>IF(U2&gt;=Assumptions!$D$15,U5*Assumptions!$D$16,0)</f>
        <v/>
      </c>
      <c r="V12" s="31">
        <f>IF(V2&gt;=Assumptions!$D$15,V5*Assumptions!$D$16,0)</f>
        <v/>
      </c>
      <c r="W12" s="31">
        <f>IF(W2&gt;=Assumptions!$D$15,W5*Assumptions!$D$16,0)</f>
        <v/>
      </c>
      <c r="X12" s="31">
        <f>IF(X2&gt;=Assumptions!$D$15,X5*Assumptions!$D$16,0)</f>
        <v/>
      </c>
      <c r="Y12" s="31">
        <f>IF(Y2&gt;=Assumptions!$D$15,Y5*Assumptions!$D$16,0)</f>
        <v/>
      </c>
      <c r="Z12" s="31">
        <f>IF(Z2&gt;=Assumptions!$D$15,Z5*Assumptions!$D$16,0)</f>
        <v/>
      </c>
      <c r="AA12" s="31">
        <f>IF(AA2&gt;=Assumptions!$D$15,AA5*Assumptions!$D$16,0)</f>
        <v/>
      </c>
      <c r="AB12" s="31">
        <f>IF(AB2&gt;=Assumptions!$D$15,AB5*Assumptions!$D$16,0)</f>
        <v/>
      </c>
      <c r="AC12" s="31">
        <f>IF(AC2&gt;=Assumptions!$D$15,AC5*Assumptions!$D$16,0)</f>
        <v/>
      </c>
      <c r="AD12" s="31">
        <f>IF(AD2&gt;=Assumptions!$D$15,AD5*Assumptions!$D$16,0)</f>
        <v/>
      </c>
      <c r="AE12" s="31">
        <f>IF(AE2&gt;=Assumptions!$D$15,AE5*Assumptions!$D$16,0)</f>
        <v/>
      </c>
      <c r="AF12" s="31">
        <f>IF(AF2&gt;=Assumptions!$D$15,AF5*Assumptions!$D$16,0)</f>
        <v/>
      </c>
      <c r="AG12" s="31">
        <f>IF(AG2&gt;=Assumptions!$D$15,AG5*Assumptions!$D$16,0)</f>
        <v/>
      </c>
      <c r="AH12" s="31">
        <f>IF(AH2&gt;=Assumptions!$D$15,AH5*Assumptions!$D$16,0)</f>
        <v/>
      </c>
      <c r="AI12" s="31">
        <f>IF(AI2&gt;=Assumptions!$D$15,AI5*Assumptions!$D$16,0)</f>
        <v/>
      </c>
      <c r="AJ12" s="31">
        <f>IF(AJ2&gt;=Assumptions!$D$15,AJ5*Assumptions!$D$16,0)</f>
        <v/>
      </c>
      <c r="AK12" s="31">
        <f>IF(AK2&gt;=Assumptions!$D$15,AK5*Assumptions!$D$16,0)</f>
        <v/>
      </c>
      <c r="AL12" s="31">
        <f>IF(AL2&gt;=Assumptions!$D$15,AL5*Assumptions!$D$16,0)</f>
        <v/>
      </c>
    </row>
    <row r="13">
      <c r="A13" t="inlineStr">
        <is>
          <t>[B] New paid seats</t>
        </is>
      </c>
      <c r="C13" s="31">
        <f>C12*Assumptions!$D$17</f>
        <v/>
      </c>
      <c r="D13" s="31">
        <f>D12*Assumptions!$D$17</f>
        <v/>
      </c>
      <c r="E13" s="31">
        <f>E12*Assumptions!$D$17</f>
        <v/>
      </c>
      <c r="F13" s="31">
        <f>F12*Assumptions!$D$17</f>
        <v/>
      </c>
      <c r="G13" s="31">
        <f>G12*Assumptions!$D$17</f>
        <v/>
      </c>
      <c r="H13" s="31">
        <f>H12*Assumptions!$D$17</f>
        <v/>
      </c>
      <c r="I13" s="31">
        <f>I12*Assumptions!$D$17</f>
        <v/>
      </c>
      <c r="J13" s="31">
        <f>J12*Assumptions!$D$17</f>
        <v/>
      </c>
      <c r="K13" s="31">
        <f>K12*Assumptions!$D$17</f>
        <v/>
      </c>
      <c r="L13" s="31">
        <f>L12*Assumptions!$D$17</f>
        <v/>
      </c>
      <c r="M13" s="31">
        <f>M12*Assumptions!$D$17</f>
        <v/>
      </c>
      <c r="N13" s="31">
        <f>N12*Assumptions!$D$17</f>
        <v/>
      </c>
      <c r="O13" s="31">
        <f>O12*Assumptions!$D$17</f>
        <v/>
      </c>
      <c r="P13" s="31">
        <f>P12*Assumptions!$D$17</f>
        <v/>
      </c>
      <c r="Q13" s="31">
        <f>Q12*Assumptions!$D$17</f>
        <v/>
      </c>
      <c r="R13" s="31">
        <f>R12*Assumptions!$D$17</f>
        <v/>
      </c>
      <c r="S13" s="31">
        <f>S12*Assumptions!$D$17</f>
        <v/>
      </c>
      <c r="T13" s="31">
        <f>T12*Assumptions!$D$17</f>
        <v/>
      </c>
      <c r="U13" s="31">
        <f>U12*Assumptions!$D$17</f>
        <v/>
      </c>
      <c r="V13" s="31">
        <f>V12*Assumptions!$D$17</f>
        <v/>
      </c>
      <c r="W13" s="31">
        <f>W12*Assumptions!$D$17</f>
        <v/>
      </c>
      <c r="X13" s="31">
        <f>X12*Assumptions!$D$17</f>
        <v/>
      </c>
      <c r="Y13" s="31">
        <f>Y12*Assumptions!$D$17</f>
        <v/>
      </c>
      <c r="Z13" s="31">
        <f>Z12*Assumptions!$D$17</f>
        <v/>
      </c>
      <c r="AA13" s="31">
        <f>AA12*Assumptions!$D$17</f>
        <v/>
      </c>
      <c r="AB13" s="31">
        <f>AB12*Assumptions!$D$17</f>
        <v/>
      </c>
      <c r="AC13" s="31">
        <f>AC12*Assumptions!$D$17</f>
        <v/>
      </c>
      <c r="AD13" s="31">
        <f>AD12*Assumptions!$D$17</f>
        <v/>
      </c>
      <c r="AE13" s="31">
        <f>AE12*Assumptions!$D$17</f>
        <v/>
      </c>
      <c r="AF13" s="31">
        <f>AF12*Assumptions!$D$17</f>
        <v/>
      </c>
      <c r="AG13" s="31">
        <f>AG12*Assumptions!$D$17</f>
        <v/>
      </c>
      <c r="AH13" s="31">
        <f>AH12*Assumptions!$D$17</f>
        <v/>
      </c>
      <c r="AI13" s="31">
        <f>AI12*Assumptions!$D$17</f>
        <v/>
      </c>
      <c r="AJ13" s="31">
        <f>AJ12*Assumptions!$D$17</f>
        <v/>
      </c>
      <c r="AK13" s="31">
        <f>AK12*Assumptions!$D$17</f>
        <v/>
      </c>
      <c r="AL13" s="31">
        <f>AL12*Assumptions!$D$17</f>
        <v/>
      </c>
    </row>
    <row r="14">
      <c r="A14" t="inlineStr">
        <is>
          <t>[B] Active paid seats</t>
        </is>
      </c>
      <c r="C14" s="31">
        <f>C13</f>
        <v/>
      </c>
      <c r="D14" s="31">
        <f>C14*(1-Assumptions!$D$19)+D13</f>
        <v/>
      </c>
      <c r="E14" s="31">
        <f>D14*(1-Assumptions!$D$19)+E13</f>
        <v/>
      </c>
      <c r="F14" s="31">
        <f>E14*(1-Assumptions!$D$19)+F13</f>
        <v/>
      </c>
      <c r="G14" s="31">
        <f>F14*(1-Assumptions!$D$19)+G13</f>
        <v/>
      </c>
      <c r="H14" s="31">
        <f>G14*(1-Assumptions!$D$19)+H13</f>
        <v/>
      </c>
      <c r="I14" s="31">
        <f>H14*(1-Assumptions!$D$19)+I13</f>
        <v/>
      </c>
      <c r="J14" s="31">
        <f>I14*(1-Assumptions!$D$19)+J13</f>
        <v/>
      </c>
      <c r="K14" s="31">
        <f>J14*(1-Assumptions!$D$19)+K13</f>
        <v/>
      </c>
      <c r="L14" s="31">
        <f>K14*(1-Assumptions!$D$19)+L13</f>
        <v/>
      </c>
      <c r="M14" s="31">
        <f>L14*(1-Assumptions!$D$19)+M13</f>
        <v/>
      </c>
      <c r="N14" s="31">
        <f>M14*(1-Assumptions!$D$19)+N13</f>
        <v/>
      </c>
      <c r="O14" s="31">
        <f>N14*(1-Assumptions!$D$19)+O13</f>
        <v/>
      </c>
      <c r="P14" s="31">
        <f>O14*(1-Assumptions!$D$19)+P13</f>
        <v/>
      </c>
      <c r="Q14" s="31">
        <f>P14*(1-Assumptions!$D$19)+Q13</f>
        <v/>
      </c>
      <c r="R14" s="31">
        <f>Q14*(1-Assumptions!$D$19)+R13</f>
        <v/>
      </c>
      <c r="S14" s="31">
        <f>R14*(1-Assumptions!$D$19)+S13</f>
        <v/>
      </c>
      <c r="T14" s="31">
        <f>S14*(1-Assumptions!$D$19)+T13</f>
        <v/>
      </c>
      <c r="U14" s="31">
        <f>T14*(1-Assumptions!$D$19)+U13</f>
        <v/>
      </c>
      <c r="V14" s="31">
        <f>U14*(1-Assumptions!$D$19)+V13</f>
        <v/>
      </c>
      <c r="W14" s="31">
        <f>V14*(1-Assumptions!$D$19)+W13</f>
        <v/>
      </c>
      <c r="X14" s="31">
        <f>W14*(1-Assumptions!$D$19)+X13</f>
        <v/>
      </c>
      <c r="Y14" s="31">
        <f>X14*(1-Assumptions!$D$19)+Y13</f>
        <v/>
      </c>
      <c r="Z14" s="31">
        <f>Y14*(1-Assumptions!$D$19)+Z13</f>
        <v/>
      </c>
      <c r="AA14" s="31">
        <f>Z14*(1-Assumptions!$D$19)+AA13</f>
        <v/>
      </c>
      <c r="AB14" s="31">
        <f>AA14*(1-Assumptions!$D$19)+AB13</f>
        <v/>
      </c>
      <c r="AC14" s="31">
        <f>AB14*(1-Assumptions!$D$19)+AC13</f>
        <v/>
      </c>
      <c r="AD14" s="31">
        <f>AC14*(1-Assumptions!$D$19)+AD13</f>
        <v/>
      </c>
      <c r="AE14" s="31">
        <f>AD14*(1-Assumptions!$D$19)+AE13</f>
        <v/>
      </c>
      <c r="AF14" s="31">
        <f>AE14*(1-Assumptions!$D$19)+AF13</f>
        <v/>
      </c>
      <c r="AG14" s="31">
        <f>AF14*(1-Assumptions!$D$19)+AG13</f>
        <v/>
      </c>
      <c r="AH14" s="31">
        <f>AG14*(1-Assumptions!$D$19)+AH13</f>
        <v/>
      </c>
      <c r="AI14" s="31">
        <f>AH14*(1-Assumptions!$D$19)+AI13</f>
        <v/>
      </c>
      <c r="AJ14" s="31">
        <f>AI14*(1-Assumptions!$D$19)+AJ13</f>
        <v/>
      </c>
      <c r="AK14" s="31">
        <f>AJ14*(1-Assumptions!$D$19)+AK13</f>
        <v/>
      </c>
      <c r="AL14" s="31">
        <f>AK14*(1-Assumptions!$D$19)+AL13</f>
        <v/>
      </c>
    </row>
    <row r="15">
      <c r="A15" t="inlineStr">
        <is>
          <t>[B] Pro MRR</t>
        </is>
      </c>
      <c r="C15" s="32">
        <f>C14*Assumptions!$D$18</f>
        <v/>
      </c>
      <c r="D15" s="32">
        <f>D14*Assumptions!$D$18</f>
        <v/>
      </c>
      <c r="E15" s="32">
        <f>E14*Assumptions!$D$18</f>
        <v/>
      </c>
      <c r="F15" s="32">
        <f>F14*Assumptions!$D$18</f>
        <v/>
      </c>
      <c r="G15" s="32">
        <f>G14*Assumptions!$D$18</f>
        <v/>
      </c>
      <c r="H15" s="32">
        <f>H14*Assumptions!$D$18</f>
        <v/>
      </c>
      <c r="I15" s="32">
        <f>I14*Assumptions!$D$18</f>
        <v/>
      </c>
      <c r="J15" s="32">
        <f>J14*Assumptions!$D$18</f>
        <v/>
      </c>
      <c r="K15" s="32">
        <f>K14*Assumptions!$D$18</f>
        <v/>
      </c>
      <c r="L15" s="32">
        <f>L14*Assumptions!$D$18</f>
        <v/>
      </c>
      <c r="M15" s="32">
        <f>M14*Assumptions!$D$18</f>
        <v/>
      </c>
      <c r="N15" s="32">
        <f>N14*Assumptions!$D$18</f>
        <v/>
      </c>
      <c r="O15" s="32">
        <f>O14*Assumptions!$D$18</f>
        <v/>
      </c>
      <c r="P15" s="32">
        <f>P14*Assumptions!$D$18</f>
        <v/>
      </c>
      <c r="Q15" s="32">
        <f>Q14*Assumptions!$D$18</f>
        <v/>
      </c>
      <c r="R15" s="32">
        <f>R14*Assumptions!$D$18</f>
        <v/>
      </c>
      <c r="S15" s="32">
        <f>S14*Assumptions!$D$18</f>
        <v/>
      </c>
      <c r="T15" s="32">
        <f>T14*Assumptions!$D$18</f>
        <v/>
      </c>
      <c r="U15" s="32">
        <f>U14*Assumptions!$D$18</f>
        <v/>
      </c>
      <c r="V15" s="32">
        <f>V14*Assumptions!$D$18</f>
        <v/>
      </c>
      <c r="W15" s="32">
        <f>W14*Assumptions!$D$18</f>
        <v/>
      </c>
      <c r="X15" s="32">
        <f>X14*Assumptions!$D$18</f>
        <v/>
      </c>
      <c r="Y15" s="32">
        <f>Y14*Assumptions!$D$18</f>
        <v/>
      </c>
      <c r="Z15" s="32">
        <f>Z14*Assumptions!$D$18</f>
        <v/>
      </c>
      <c r="AA15" s="32">
        <f>AA14*Assumptions!$D$18</f>
        <v/>
      </c>
      <c r="AB15" s="32">
        <f>AB14*Assumptions!$D$18</f>
        <v/>
      </c>
      <c r="AC15" s="32">
        <f>AC14*Assumptions!$D$18</f>
        <v/>
      </c>
      <c r="AD15" s="32">
        <f>AD14*Assumptions!$D$18</f>
        <v/>
      </c>
      <c r="AE15" s="32">
        <f>AE14*Assumptions!$D$18</f>
        <v/>
      </c>
      <c r="AF15" s="32">
        <f>AF14*Assumptions!$D$18</f>
        <v/>
      </c>
      <c r="AG15" s="32">
        <f>AG14*Assumptions!$D$18</f>
        <v/>
      </c>
      <c r="AH15" s="32">
        <f>AH14*Assumptions!$D$18</f>
        <v/>
      </c>
      <c r="AI15" s="32">
        <f>AI14*Assumptions!$D$18</f>
        <v/>
      </c>
      <c r="AJ15" s="32">
        <f>AJ14*Assumptions!$D$18</f>
        <v/>
      </c>
      <c r="AK15" s="32">
        <f>AK14*Assumptions!$D$18</f>
        <v/>
      </c>
      <c r="AL15" s="32">
        <f>AL14*Assumptions!$D$18</f>
        <v/>
      </c>
    </row>
    <row r="17">
      <c r="A17" t="inlineStr">
        <is>
          <t>[C] Cloud MRR</t>
        </is>
      </c>
      <c r="C17" s="32">
        <f>IF(C2&gt;=Assumptions!$D$21,C14*Assumptions!$D$22*Assumptions!$D$23,0)</f>
        <v/>
      </c>
      <c r="D17" s="32">
        <f>IF(D2&gt;=Assumptions!$D$21,D14*Assumptions!$D$22*Assumptions!$D$23,0)</f>
        <v/>
      </c>
      <c r="E17" s="32">
        <f>IF(E2&gt;=Assumptions!$D$21,E14*Assumptions!$D$22*Assumptions!$D$23,0)</f>
        <v/>
      </c>
      <c r="F17" s="32">
        <f>IF(F2&gt;=Assumptions!$D$21,F14*Assumptions!$D$22*Assumptions!$D$23,0)</f>
        <v/>
      </c>
      <c r="G17" s="32">
        <f>IF(G2&gt;=Assumptions!$D$21,G14*Assumptions!$D$22*Assumptions!$D$23,0)</f>
        <v/>
      </c>
      <c r="H17" s="32">
        <f>IF(H2&gt;=Assumptions!$D$21,H14*Assumptions!$D$22*Assumptions!$D$23,0)</f>
        <v/>
      </c>
      <c r="I17" s="32">
        <f>IF(I2&gt;=Assumptions!$D$21,I14*Assumptions!$D$22*Assumptions!$D$23,0)</f>
        <v/>
      </c>
      <c r="J17" s="32">
        <f>IF(J2&gt;=Assumptions!$D$21,J14*Assumptions!$D$22*Assumptions!$D$23,0)</f>
        <v/>
      </c>
      <c r="K17" s="32">
        <f>IF(K2&gt;=Assumptions!$D$21,K14*Assumptions!$D$22*Assumptions!$D$23,0)</f>
        <v/>
      </c>
      <c r="L17" s="32">
        <f>IF(L2&gt;=Assumptions!$D$21,L14*Assumptions!$D$22*Assumptions!$D$23,0)</f>
        <v/>
      </c>
      <c r="M17" s="32">
        <f>IF(M2&gt;=Assumptions!$D$21,M14*Assumptions!$D$22*Assumptions!$D$23,0)</f>
        <v/>
      </c>
      <c r="N17" s="32">
        <f>IF(N2&gt;=Assumptions!$D$21,N14*Assumptions!$D$22*Assumptions!$D$23,0)</f>
        <v/>
      </c>
      <c r="O17" s="32">
        <f>IF(O2&gt;=Assumptions!$D$21,O14*Assumptions!$D$22*Assumptions!$D$23,0)</f>
        <v/>
      </c>
      <c r="P17" s="32">
        <f>IF(P2&gt;=Assumptions!$D$21,P14*Assumptions!$D$22*Assumptions!$D$23,0)</f>
        <v/>
      </c>
      <c r="Q17" s="32">
        <f>IF(Q2&gt;=Assumptions!$D$21,Q14*Assumptions!$D$22*Assumptions!$D$23,0)</f>
        <v/>
      </c>
      <c r="R17" s="32">
        <f>IF(R2&gt;=Assumptions!$D$21,R14*Assumptions!$D$22*Assumptions!$D$23,0)</f>
        <v/>
      </c>
      <c r="S17" s="32">
        <f>IF(S2&gt;=Assumptions!$D$21,S14*Assumptions!$D$22*Assumptions!$D$23,0)</f>
        <v/>
      </c>
      <c r="T17" s="32">
        <f>IF(T2&gt;=Assumptions!$D$21,T14*Assumptions!$D$22*Assumptions!$D$23,0)</f>
        <v/>
      </c>
      <c r="U17" s="32">
        <f>IF(U2&gt;=Assumptions!$D$21,U14*Assumptions!$D$22*Assumptions!$D$23,0)</f>
        <v/>
      </c>
      <c r="V17" s="32">
        <f>IF(V2&gt;=Assumptions!$D$21,V14*Assumptions!$D$22*Assumptions!$D$23,0)</f>
        <v/>
      </c>
      <c r="W17" s="32">
        <f>IF(W2&gt;=Assumptions!$D$21,W14*Assumptions!$D$22*Assumptions!$D$23,0)</f>
        <v/>
      </c>
      <c r="X17" s="32">
        <f>IF(X2&gt;=Assumptions!$D$21,X14*Assumptions!$D$22*Assumptions!$D$23,0)</f>
        <v/>
      </c>
      <c r="Y17" s="32">
        <f>IF(Y2&gt;=Assumptions!$D$21,Y14*Assumptions!$D$22*Assumptions!$D$23,0)</f>
        <v/>
      </c>
      <c r="Z17" s="32">
        <f>IF(Z2&gt;=Assumptions!$D$21,Z14*Assumptions!$D$22*Assumptions!$D$23,0)</f>
        <v/>
      </c>
      <c r="AA17" s="32">
        <f>IF(AA2&gt;=Assumptions!$D$21,AA14*Assumptions!$D$22*Assumptions!$D$23,0)</f>
        <v/>
      </c>
      <c r="AB17" s="32">
        <f>IF(AB2&gt;=Assumptions!$D$21,AB14*Assumptions!$D$22*Assumptions!$D$23,0)</f>
        <v/>
      </c>
      <c r="AC17" s="32">
        <f>IF(AC2&gt;=Assumptions!$D$21,AC14*Assumptions!$D$22*Assumptions!$D$23,0)</f>
        <v/>
      </c>
      <c r="AD17" s="32">
        <f>IF(AD2&gt;=Assumptions!$D$21,AD14*Assumptions!$D$22*Assumptions!$D$23,0)</f>
        <v/>
      </c>
      <c r="AE17" s="32">
        <f>IF(AE2&gt;=Assumptions!$D$21,AE14*Assumptions!$D$22*Assumptions!$D$23,0)</f>
        <v/>
      </c>
      <c r="AF17" s="32">
        <f>IF(AF2&gt;=Assumptions!$D$21,AF14*Assumptions!$D$22*Assumptions!$D$23,0)</f>
        <v/>
      </c>
      <c r="AG17" s="32">
        <f>IF(AG2&gt;=Assumptions!$D$21,AG14*Assumptions!$D$22*Assumptions!$D$23,0)</f>
        <v/>
      </c>
      <c r="AH17" s="32">
        <f>IF(AH2&gt;=Assumptions!$D$21,AH14*Assumptions!$D$22*Assumptions!$D$23,0)</f>
        <v/>
      </c>
      <c r="AI17" s="32">
        <f>IF(AI2&gt;=Assumptions!$D$21,AI14*Assumptions!$D$22*Assumptions!$D$23,0)</f>
        <v/>
      </c>
      <c r="AJ17" s="32">
        <f>IF(AJ2&gt;=Assumptions!$D$21,AJ14*Assumptions!$D$22*Assumptions!$D$23,0)</f>
        <v/>
      </c>
      <c r="AK17" s="32">
        <f>IF(AK2&gt;=Assumptions!$D$21,AK14*Assumptions!$D$22*Assumptions!$D$23,0)</f>
        <v/>
      </c>
      <c r="AL17" s="32">
        <f>IF(AL2&gt;=Assumptions!$D$21,AL14*Assumptions!$D$22*Assumptions!$D$23,0)</f>
        <v/>
      </c>
    </row>
    <row r="19">
      <c r="A19" t="inlineStr">
        <is>
          <t>[E] New community members</t>
        </is>
      </c>
      <c r="C19" s="31">
        <f>C6*Assumptions!$D$25</f>
        <v/>
      </c>
      <c r="D19" s="31">
        <f>D6*Assumptions!$D$25</f>
        <v/>
      </c>
      <c r="E19" s="31">
        <f>E6*Assumptions!$D$25</f>
        <v/>
      </c>
      <c r="F19" s="31">
        <f>F6*Assumptions!$D$25</f>
        <v/>
      </c>
      <c r="G19" s="31">
        <f>G6*Assumptions!$D$25</f>
        <v/>
      </c>
      <c r="H19" s="31">
        <f>H6*Assumptions!$D$25</f>
        <v/>
      </c>
      <c r="I19" s="31">
        <f>I6*Assumptions!$D$25</f>
        <v/>
      </c>
      <c r="J19" s="31">
        <f>J6*Assumptions!$D$25</f>
        <v/>
      </c>
      <c r="K19" s="31">
        <f>K6*Assumptions!$D$25</f>
        <v/>
      </c>
      <c r="L19" s="31">
        <f>L6*Assumptions!$D$25</f>
        <v/>
      </c>
      <c r="M19" s="31">
        <f>M6*Assumptions!$D$25</f>
        <v/>
      </c>
      <c r="N19" s="31">
        <f>N6*Assumptions!$D$25</f>
        <v/>
      </c>
      <c r="O19" s="31">
        <f>O6*Assumptions!$D$25</f>
        <v/>
      </c>
      <c r="P19" s="31">
        <f>P6*Assumptions!$D$25</f>
        <v/>
      </c>
      <c r="Q19" s="31">
        <f>Q6*Assumptions!$D$25</f>
        <v/>
      </c>
      <c r="R19" s="31">
        <f>R6*Assumptions!$D$25</f>
        <v/>
      </c>
      <c r="S19" s="31">
        <f>S6*Assumptions!$D$25</f>
        <v/>
      </c>
      <c r="T19" s="31">
        <f>T6*Assumptions!$D$25</f>
        <v/>
      </c>
      <c r="U19" s="31">
        <f>U6*Assumptions!$D$25</f>
        <v/>
      </c>
      <c r="V19" s="31">
        <f>V6*Assumptions!$D$25</f>
        <v/>
      </c>
      <c r="W19" s="31">
        <f>W6*Assumptions!$D$25</f>
        <v/>
      </c>
      <c r="X19" s="31">
        <f>X6*Assumptions!$D$25</f>
        <v/>
      </c>
      <c r="Y19" s="31">
        <f>Y6*Assumptions!$D$25</f>
        <v/>
      </c>
      <c r="Z19" s="31">
        <f>Z6*Assumptions!$D$25</f>
        <v/>
      </c>
      <c r="AA19" s="31">
        <f>AA6*Assumptions!$D$25</f>
        <v/>
      </c>
      <c r="AB19" s="31">
        <f>AB6*Assumptions!$D$25</f>
        <v/>
      </c>
      <c r="AC19" s="31">
        <f>AC6*Assumptions!$D$25</f>
        <v/>
      </c>
      <c r="AD19" s="31">
        <f>AD6*Assumptions!$D$25</f>
        <v/>
      </c>
      <c r="AE19" s="31">
        <f>AE6*Assumptions!$D$25</f>
        <v/>
      </c>
      <c r="AF19" s="31">
        <f>AF6*Assumptions!$D$25</f>
        <v/>
      </c>
      <c r="AG19" s="31">
        <f>AG6*Assumptions!$D$25</f>
        <v/>
      </c>
      <c r="AH19" s="31">
        <f>AH6*Assumptions!$D$25</f>
        <v/>
      </c>
      <c r="AI19" s="31">
        <f>AI6*Assumptions!$D$25</f>
        <v/>
      </c>
      <c r="AJ19" s="31">
        <f>AJ6*Assumptions!$D$25</f>
        <v/>
      </c>
      <c r="AK19" s="31">
        <f>AK6*Assumptions!$D$25</f>
        <v/>
      </c>
      <c r="AL19" s="31">
        <f>AL6*Assumptions!$D$25</f>
        <v/>
      </c>
    </row>
    <row r="20">
      <c r="A20" t="inlineStr">
        <is>
          <t>[E] Active community</t>
        </is>
      </c>
      <c r="C20" s="31">
        <f>C19</f>
        <v/>
      </c>
      <c r="D20" s="31">
        <f>C20*(1-Assumptions!$D$27)+D19</f>
        <v/>
      </c>
      <c r="E20" s="31">
        <f>D20*(1-Assumptions!$D$27)+E19</f>
        <v/>
      </c>
      <c r="F20" s="31">
        <f>E20*(1-Assumptions!$D$27)+F19</f>
        <v/>
      </c>
      <c r="G20" s="31">
        <f>F20*(1-Assumptions!$D$27)+G19</f>
        <v/>
      </c>
      <c r="H20" s="31">
        <f>G20*(1-Assumptions!$D$27)+H19</f>
        <v/>
      </c>
      <c r="I20" s="31">
        <f>H20*(1-Assumptions!$D$27)+I19</f>
        <v/>
      </c>
      <c r="J20" s="31">
        <f>I20*(1-Assumptions!$D$27)+J19</f>
        <v/>
      </c>
      <c r="K20" s="31">
        <f>J20*(1-Assumptions!$D$27)+K19</f>
        <v/>
      </c>
      <c r="L20" s="31">
        <f>K20*(1-Assumptions!$D$27)+L19</f>
        <v/>
      </c>
      <c r="M20" s="31">
        <f>L20*(1-Assumptions!$D$27)+M19</f>
        <v/>
      </c>
      <c r="N20" s="31">
        <f>M20*(1-Assumptions!$D$27)+N19</f>
        <v/>
      </c>
      <c r="O20" s="31">
        <f>N20*(1-Assumptions!$D$27)+O19</f>
        <v/>
      </c>
      <c r="P20" s="31">
        <f>O20*(1-Assumptions!$D$27)+P19</f>
        <v/>
      </c>
      <c r="Q20" s="31">
        <f>P20*(1-Assumptions!$D$27)+Q19</f>
        <v/>
      </c>
      <c r="R20" s="31">
        <f>Q20*(1-Assumptions!$D$27)+R19</f>
        <v/>
      </c>
      <c r="S20" s="31">
        <f>R20*(1-Assumptions!$D$27)+S19</f>
        <v/>
      </c>
      <c r="T20" s="31">
        <f>S20*(1-Assumptions!$D$27)+T19</f>
        <v/>
      </c>
      <c r="U20" s="31">
        <f>T20*(1-Assumptions!$D$27)+U19</f>
        <v/>
      </c>
      <c r="V20" s="31">
        <f>U20*(1-Assumptions!$D$27)+V19</f>
        <v/>
      </c>
      <c r="W20" s="31">
        <f>V20*(1-Assumptions!$D$27)+W19</f>
        <v/>
      </c>
      <c r="X20" s="31">
        <f>W20*(1-Assumptions!$D$27)+X19</f>
        <v/>
      </c>
      <c r="Y20" s="31">
        <f>X20*(1-Assumptions!$D$27)+Y19</f>
        <v/>
      </c>
      <c r="Z20" s="31">
        <f>Y20*(1-Assumptions!$D$27)+Z19</f>
        <v/>
      </c>
      <c r="AA20" s="31">
        <f>Z20*(1-Assumptions!$D$27)+AA19</f>
        <v/>
      </c>
      <c r="AB20" s="31">
        <f>AA20*(1-Assumptions!$D$27)+AB19</f>
        <v/>
      </c>
      <c r="AC20" s="31">
        <f>AB20*(1-Assumptions!$D$27)+AC19</f>
        <v/>
      </c>
      <c r="AD20" s="31">
        <f>AC20*(1-Assumptions!$D$27)+AD19</f>
        <v/>
      </c>
      <c r="AE20" s="31">
        <f>AD20*(1-Assumptions!$D$27)+AE19</f>
        <v/>
      </c>
      <c r="AF20" s="31">
        <f>AE20*(1-Assumptions!$D$27)+AF19</f>
        <v/>
      </c>
      <c r="AG20" s="31">
        <f>AF20*(1-Assumptions!$D$27)+AG19</f>
        <v/>
      </c>
      <c r="AH20" s="31">
        <f>AG20*(1-Assumptions!$D$27)+AH19</f>
        <v/>
      </c>
      <c r="AI20" s="31">
        <f>AH20*(1-Assumptions!$D$27)+AI19</f>
        <v/>
      </c>
      <c r="AJ20" s="31">
        <f>AI20*(1-Assumptions!$D$27)+AJ19</f>
        <v/>
      </c>
      <c r="AK20" s="31">
        <f>AJ20*(1-Assumptions!$D$27)+AK19</f>
        <v/>
      </c>
      <c r="AL20" s="31">
        <f>AK20*(1-Assumptions!$D$27)+AL19</f>
        <v/>
      </c>
    </row>
    <row r="21">
      <c r="A21" t="inlineStr">
        <is>
          <t>[E] Community MRR</t>
        </is>
      </c>
      <c r="C21" s="32">
        <f>C20*Assumptions!$D$26</f>
        <v/>
      </c>
      <c r="D21" s="32">
        <f>D20*Assumptions!$D$26</f>
        <v/>
      </c>
      <c r="E21" s="32">
        <f>E20*Assumptions!$D$26</f>
        <v/>
      </c>
      <c r="F21" s="32">
        <f>F20*Assumptions!$D$26</f>
        <v/>
      </c>
      <c r="G21" s="32">
        <f>G20*Assumptions!$D$26</f>
        <v/>
      </c>
      <c r="H21" s="32">
        <f>H20*Assumptions!$D$26</f>
        <v/>
      </c>
      <c r="I21" s="32">
        <f>I20*Assumptions!$D$26</f>
        <v/>
      </c>
      <c r="J21" s="32">
        <f>J20*Assumptions!$D$26</f>
        <v/>
      </c>
      <c r="K21" s="32">
        <f>K20*Assumptions!$D$26</f>
        <v/>
      </c>
      <c r="L21" s="32">
        <f>L20*Assumptions!$D$26</f>
        <v/>
      </c>
      <c r="M21" s="32">
        <f>M20*Assumptions!$D$26</f>
        <v/>
      </c>
      <c r="N21" s="32">
        <f>N20*Assumptions!$D$26</f>
        <v/>
      </c>
      <c r="O21" s="32">
        <f>O20*Assumptions!$D$26</f>
        <v/>
      </c>
      <c r="P21" s="32">
        <f>P20*Assumptions!$D$26</f>
        <v/>
      </c>
      <c r="Q21" s="32">
        <f>Q20*Assumptions!$D$26</f>
        <v/>
      </c>
      <c r="R21" s="32">
        <f>R20*Assumptions!$D$26</f>
        <v/>
      </c>
      <c r="S21" s="32">
        <f>S20*Assumptions!$D$26</f>
        <v/>
      </c>
      <c r="T21" s="32">
        <f>T20*Assumptions!$D$26</f>
        <v/>
      </c>
      <c r="U21" s="32">
        <f>U20*Assumptions!$D$26</f>
        <v/>
      </c>
      <c r="V21" s="32">
        <f>V20*Assumptions!$D$26</f>
        <v/>
      </c>
      <c r="W21" s="32">
        <f>W20*Assumptions!$D$26</f>
        <v/>
      </c>
      <c r="X21" s="32">
        <f>X20*Assumptions!$D$26</f>
        <v/>
      </c>
      <c r="Y21" s="32">
        <f>Y20*Assumptions!$D$26</f>
        <v/>
      </c>
      <c r="Z21" s="32">
        <f>Z20*Assumptions!$D$26</f>
        <v/>
      </c>
      <c r="AA21" s="32">
        <f>AA20*Assumptions!$D$26</f>
        <v/>
      </c>
      <c r="AB21" s="32">
        <f>AB20*Assumptions!$D$26</f>
        <v/>
      </c>
      <c r="AC21" s="32">
        <f>AC20*Assumptions!$D$26</f>
        <v/>
      </c>
      <c r="AD21" s="32">
        <f>AD20*Assumptions!$D$26</f>
        <v/>
      </c>
      <c r="AE21" s="32">
        <f>AE20*Assumptions!$D$26</f>
        <v/>
      </c>
      <c r="AF21" s="32">
        <f>AF20*Assumptions!$D$26</f>
        <v/>
      </c>
      <c r="AG21" s="32">
        <f>AG20*Assumptions!$D$26</f>
        <v/>
      </c>
      <c r="AH21" s="32">
        <f>AH20*Assumptions!$D$26</f>
        <v/>
      </c>
      <c r="AI21" s="32">
        <f>AI20*Assumptions!$D$26</f>
        <v/>
      </c>
      <c r="AJ21" s="32">
        <f>AJ20*Assumptions!$D$26</f>
        <v/>
      </c>
      <c r="AK21" s="32">
        <f>AK20*Assumptions!$D$26</f>
        <v/>
      </c>
      <c r="AL21" s="32">
        <f>AL20*Assumptions!$D$26</f>
        <v/>
      </c>
    </row>
    <row r="22">
      <c r="A22" t="inlineStr">
        <is>
          <t>[E] Course revenue</t>
        </is>
      </c>
      <c r="C22" s="32">
        <f>C6*Assumptions!$D$28*Assumptions!$D$29</f>
        <v/>
      </c>
      <c r="D22" s="32">
        <f>D6*Assumptions!$D$28*Assumptions!$D$29</f>
        <v/>
      </c>
      <c r="E22" s="32">
        <f>E6*Assumptions!$D$28*Assumptions!$D$29</f>
        <v/>
      </c>
      <c r="F22" s="32">
        <f>F6*Assumptions!$D$28*Assumptions!$D$29</f>
        <v/>
      </c>
      <c r="G22" s="32">
        <f>G6*Assumptions!$D$28*Assumptions!$D$29</f>
        <v/>
      </c>
      <c r="H22" s="32">
        <f>H6*Assumptions!$D$28*Assumptions!$D$29</f>
        <v/>
      </c>
      <c r="I22" s="32">
        <f>I6*Assumptions!$D$28*Assumptions!$D$29</f>
        <v/>
      </c>
      <c r="J22" s="32">
        <f>J6*Assumptions!$D$28*Assumptions!$D$29</f>
        <v/>
      </c>
      <c r="K22" s="32">
        <f>K6*Assumptions!$D$28*Assumptions!$D$29</f>
        <v/>
      </c>
      <c r="L22" s="32">
        <f>L6*Assumptions!$D$28*Assumptions!$D$29</f>
        <v/>
      </c>
      <c r="M22" s="32">
        <f>M6*Assumptions!$D$28*Assumptions!$D$29</f>
        <v/>
      </c>
      <c r="N22" s="32">
        <f>N6*Assumptions!$D$28*Assumptions!$D$29</f>
        <v/>
      </c>
      <c r="O22" s="32">
        <f>O6*Assumptions!$D$28*Assumptions!$D$29</f>
        <v/>
      </c>
      <c r="P22" s="32">
        <f>P6*Assumptions!$D$28*Assumptions!$D$29</f>
        <v/>
      </c>
      <c r="Q22" s="32">
        <f>Q6*Assumptions!$D$28*Assumptions!$D$29</f>
        <v/>
      </c>
      <c r="R22" s="32">
        <f>R6*Assumptions!$D$28*Assumptions!$D$29</f>
        <v/>
      </c>
      <c r="S22" s="32">
        <f>S6*Assumptions!$D$28*Assumptions!$D$29</f>
        <v/>
      </c>
      <c r="T22" s="32">
        <f>T6*Assumptions!$D$28*Assumptions!$D$29</f>
        <v/>
      </c>
      <c r="U22" s="32">
        <f>U6*Assumptions!$D$28*Assumptions!$D$29</f>
        <v/>
      </c>
      <c r="V22" s="32">
        <f>V6*Assumptions!$D$28*Assumptions!$D$29</f>
        <v/>
      </c>
      <c r="W22" s="32">
        <f>W6*Assumptions!$D$28*Assumptions!$D$29</f>
        <v/>
      </c>
      <c r="X22" s="32">
        <f>X6*Assumptions!$D$28*Assumptions!$D$29</f>
        <v/>
      </c>
      <c r="Y22" s="32">
        <f>Y6*Assumptions!$D$28*Assumptions!$D$29</f>
        <v/>
      </c>
      <c r="Z22" s="32">
        <f>Z6*Assumptions!$D$28*Assumptions!$D$29</f>
        <v/>
      </c>
      <c r="AA22" s="32">
        <f>AA6*Assumptions!$D$28*Assumptions!$D$29</f>
        <v/>
      </c>
      <c r="AB22" s="32">
        <f>AB6*Assumptions!$D$28*Assumptions!$D$29</f>
        <v/>
      </c>
      <c r="AC22" s="32">
        <f>AC6*Assumptions!$D$28*Assumptions!$D$29</f>
        <v/>
      </c>
      <c r="AD22" s="32">
        <f>AD6*Assumptions!$D$28*Assumptions!$D$29</f>
        <v/>
      </c>
      <c r="AE22" s="32">
        <f>AE6*Assumptions!$D$28*Assumptions!$D$29</f>
        <v/>
      </c>
      <c r="AF22" s="32">
        <f>AF6*Assumptions!$D$28*Assumptions!$D$29</f>
        <v/>
      </c>
      <c r="AG22" s="32">
        <f>AG6*Assumptions!$D$28*Assumptions!$D$29</f>
        <v/>
      </c>
      <c r="AH22" s="32">
        <f>AH6*Assumptions!$D$28*Assumptions!$D$29</f>
        <v/>
      </c>
      <c r="AI22" s="32">
        <f>AI6*Assumptions!$D$28*Assumptions!$D$29</f>
        <v/>
      </c>
      <c r="AJ22" s="32">
        <f>AJ6*Assumptions!$D$28*Assumptions!$D$29</f>
        <v/>
      </c>
      <c r="AK22" s="32">
        <f>AK6*Assumptions!$D$28*Assumptions!$D$29</f>
        <v/>
      </c>
      <c r="AL22" s="32">
        <f>AL6*Assumptions!$D$28*Assumptions!$D$29</f>
        <v/>
      </c>
    </row>
    <row r="24">
      <c r="A24" t="inlineStr">
        <is>
          <t>[D] Discovery calls</t>
        </is>
      </c>
      <c r="C24" s="31">
        <f>C7*Assumptions!$D$31</f>
        <v/>
      </c>
      <c r="D24" s="31">
        <f>D7*Assumptions!$D$31</f>
        <v/>
      </c>
      <c r="E24" s="31">
        <f>E7*Assumptions!$D$31</f>
        <v/>
      </c>
      <c r="F24" s="31">
        <f>F7*Assumptions!$D$31</f>
        <v/>
      </c>
      <c r="G24" s="31">
        <f>G7*Assumptions!$D$31</f>
        <v/>
      </c>
      <c r="H24" s="31">
        <f>H7*Assumptions!$D$31</f>
        <v/>
      </c>
      <c r="I24" s="31">
        <f>I7*Assumptions!$D$31</f>
        <v/>
      </c>
      <c r="J24" s="31">
        <f>J7*Assumptions!$D$31</f>
        <v/>
      </c>
      <c r="K24" s="31">
        <f>K7*Assumptions!$D$31</f>
        <v/>
      </c>
      <c r="L24" s="31">
        <f>L7*Assumptions!$D$31</f>
        <v/>
      </c>
      <c r="M24" s="31">
        <f>M7*Assumptions!$D$31</f>
        <v/>
      </c>
      <c r="N24" s="31">
        <f>N7*Assumptions!$D$31</f>
        <v/>
      </c>
      <c r="O24" s="31">
        <f>O7*Assumptions!$D$31</f>
        <v/>
      </c>
      <c r="P24" s="31">
        <f>P7*Assumptions!$D$31</f>
        <v/>
      </c>
      <c r="Q24" s="31">
        <f>Q7*Assumptions!$D$31</f>
        <v/>
      </c>
      <c r="R24" s="31">
        <f>R7*Assumptions!$D$31</f>
        <v/>
      </c>
      <c r="S24" s="31">
        <f>S7*Assumptions!$D$31</f>
        <v/>
      </c>
      <c r="T24" s="31">
        <f>T7*Assumptions!$D$31</f>
        <v/>
      </c>
      <c r="U24" s="31">
        <f>U7*Assumptions!$D$31</f>
        <v/>
      </c>
      <c r="V24" s="31">
        <f>V7*Assumptions!$D$31</f>
        <v/>
      </c>
      <c r="W24" s="31">
        <f>W7*Assumptions!$D$31</f>
        <v/>
      </c>
      <c r="X24" s="31">
        <f>X7*Assumptions!$D$31</f>
        <v/>
      </c>
      <c r="Y24" s="31">
        <f>Y7*Assumptions!$D$31</f>
        <v/>
      </c>
      <c r="Z24" s="31">
        <f>Z7*Assumptions!$D$31</f>
        <v/>
      </c>
      <c r="AA24" s="31">
        <f>AA7*Assumptions!$D$31</f>
        <v/>
      </c>
      <c r="AB24" s="31">
        <f>AB7*Assumptions!$D$31</f>
        <v/>
      </c>
      <c r="AC24" s="31">
        <f>AC7*Assumptions!$D$31</f>
        <v/>
      </c>
      <c r="AD24" s="31">
        <f>AD7*Assumptions!$D$31</f>
        <v/>
      </c>
      <c r="AE24" s="31">
        <f>AE7*Assumptions!$D$31</f>
        <v/>
      </c>
      <c r="AF24" s="31">
        <f>AF7*Assumptions!$D$31</f>
        <v/>
      </c>
      <c r="AG24" s="31">
        <f>AG7*Assumptions!$D$31</f>
        <v/>
      </c>
      <c r="AH24" s="31">
        <f>AH7*Assumptions!$D$31</f>
        <v/>
      </c>
      <c r="AI24" s="31">
        <f>AI7*Assumptions!$D$31</f>
        <v/>
      </c>
      <c r="AJ24" s="31">
        <f>AJ7*Assumptions!$D$31</f>
        <v/>
      </c>
      <c r="AK24" s="31">
        <f>AK7*Assumptions!$D$31</f>
        <v/>
      </c>
      <c r="AL24" s="31">
        <f>AL7*Assumptions!$D$31</f>
        <v/>
      </c>
    </row>
    <row r="25">
      <c r="A25" t="inlineStr">
        <is>
          <t>[D] New projects</t>
        </is>
      </c>
      <c r="C25" s="31">
        <f>C24*Assumptions!$D$32</f>
        <v/>
      </c>
      <c r="D25" s="31">
        <f>D24*Assumptions!$D$32</f>
        <v/>
      </c>
      <c r="E25" s="31">
        <f>E24*Assumptions!$D$32</f>
        <v/>
      </c>
      <c r="F25" s="31">
        <f>F24*Assumptions!$D$32</f>
        <v/>
      </c>
      <c r="G25" s="31">
        <f>G24*Assumptions!$D$32</f>
        <v/>
      </c>
      <c r="H25" s="31">
        <f>H24*Assumptions!$D$32</f>
        <v/>
      </c>
      <c r="I25" s="31">
        <f>I24*Assumptions!$D$32</f>
        <v/>
      </c>
      <c r="J25" s="31">
        <f>J24*Assumptions!$D$32</f>
        <v/>
      </c>
      <c r="K25" s="31">
        <f>K24*Assumptions!$D$32</f>
        <v/>
      </c>
      <c r="L25" s="31">
        <f>L24*Assumptions!$D$32</f>
        <v/>
      </c>
      <c r="M25" s="31">
        <f>M24*Assumptions!$D$32</f>
        <v/>
      </c>
      <c r="N25" s="31">
        <f>N24*Assumptions!$D$32</f>
        <v/>
      </c>
      <c r="O25" s="31">
        <f>O24*Assumptions!$D$32</f>
        <v/>
      </c>
      <c r="P25" s="31">
        <f>P24*Assumptions!$D$32</f>
        <v/>
      </c>
      <c r="Q25" s="31">
        <f>Q24*Assumptions!$D$32</f>
        <v/>
      </c>
      <c r="R25" s="31">
        <f>R24*Assumptions!$D$32</f>
        <v/>
      </c>
      <c r="S25" s="31">
        <f>S24*Assumptions!$D$32</f>
        <v/>
      </c>
      <c r="T25" s="31">
        <f>T24*Assumptions!$D$32</f>
        <v/>
      </c>
      <c r="U25" s="31">
        <f>U24*Assumptions!$D$32</f>
        <v/>
      </c>
      <c r="V25" s="31">
        <f>V24*Assumptions!$D$32</f>
        <v/>
      </c>
      <c r="W25" s="31">
        <f>W24*Assumptions!$D$32</f>
        <v/>
      </c>
      <c r="X25" s="31">
        <f>X24*Assumptions!$D$32</f>
        <v/>
      </c>
      <c r="Y25" s="31">
        <f>Y24*Assumptions!$D$32</f>
        <v/>
      </c>
      <c r="Z25" s="31">
        <f>Z24*Assumptions!$D$32</f>
        <v/>
      </c>
      <c r="AA25" s="31">
        <f>AA24*Assumptions!$D$32</f>
        <v/>
      </c>
      <c r="AB25" s="31">
        <f>AB24*Assumptions!$D$32</f>
        <v/>
      </c>
      <c r="AC25" s="31">
        <f>AC24*Assumptions!$D$32</f>
        <v/>
      </c>
      <c r="AD25" s="31">
        <f>AD24*Assumptions!$D$32</f>
        <v/>
      </c>
      <c r="AE25" s="31">
        <f>AE24*Assumptions!$D$32</f>
        <v/>
      </c>
      <c r="AF25" s="31">
        <f>AF24*Assumptions!$D$32</f>
        <v/>
      </c>
      <c r="AG25" s="31">
        <f>AG24*Assumptions!$D$32</f>
        <v/>
      </c>
      <c r="AH25" s="31">
        <f>AH24*Assumptions!$D$32</f>
        <v/>
      </c>
      <c r="AI25" s="31">
        <f>AI24*Assumptions!$D$32</f>
        <v/>
      </c>
      <c r="AJ25" s="31">
        <f>AJ24*Assumptions!$D$32</f>
        <v/>
      </c>
      <c r="AK25" s="31">
        <f>AK24*Assumptions!$D$32</f>
        <v/>
      </c>
      <c r="AL25" s="31">
        <f>AL24*Assumptions!$D$32</f>
        <v/>
      </c>
    </row>
    <row r="26">
      <c r="A26" t="inlineStr">
        <is>
          <t>[D] Project revenue</t>
        </is>
      </c>
      <c r="C26" s="32">
        <f>C25*Assumptions!$D$33</f>
        <v/>
      </c>
      <c r="D26" s="32">
        <f>D25*Assumptions!$D$33</f>
        <v/>
      </c>
      <c r="E26" s="32">
        <f>E25*Assumptions!$D$33</f>
        <v/>
      </c>
      <c r="F26" s="32">
        <f>F25*Assumptions!$D$33</f>
        <v/>
      </c>
      <c r="G26" s="32">
        <f>G25*Assumptions!$D$33</f>
        <v/>
      </c>
      <c r="H26" s="32">
        <f>H25*Assumptions!$D$33</f>
        <v/>
      </c>
      <c r="I26" s="32">
        <f>I25*Assumptions!$D$33</f>
        <v/>
      </c>
      <c r="J26" s="32">
        <f>J25*Assumptions!$D$33</f>
        <v/>
      </c>
      <c r="K26" s="32">
        <f>K25*Assumptions!$D$33</f>
        <v/>
      </c>
      <c r="L26" s="32">
        <f>L25*Assumptions!$D$33</f>
        <v/>
      </c>
      <c r="M26" s="32">
        <f>M25*Assumptions!$D$33</f>
        <v/>
      </c>
      <c r="N26" s="32">
        <f>N25*Assumptions!$D$33</f>
        <v/>
      </c>
      <c r="O26" s="32">
        <f>O25*Assumptions!$D$33</f>
        <v/>
      </c>
      <c r="P26" s="32">
        <f>P25*Assumptions!$D$33</f>
        <v/>
      </c>
      <c r="Q26" s="32">
        <f>Q25*Assumptions!$D$33</f>
        <v/>
      </c>
      <c r="R26" s="32">
        <f>R25*Assumptions!$D$33</f>
        <v/>
      </c>
      <c r="S26" s="32">
        <f>S25*Assumptions!$D$33</f>
        <v/>
      </c>
      <c r="T26" s="32">
        <f>T25*Assumptions!$D$33</f>
        <v/>
      </c>
      <c r="U26" s="32">
        <f>U25*Assumptions!$D$33</f>
        <v/>
      </c>
      <c r="V26" s="32">
        <f>V25*Assumptions!$D$33</f>
        <v/>
      </c>
      <c r="W26" s="32">
        <f>W25*Assumptions!$D$33</f>
        <v/>
      </c>
      <c r="X26" s="32">
        <f>X25*Assumptions!$D$33</f>
        <v/>
      </c>
      <c r="Y26" s="32">
        <f>Y25*Assumptions!$D$33</f>
        <v/>
      </c>
      <c r="Z26" s="32">
        <f>Z25*Assumptions!$D$33</f>
        <v/>
      </c>
      <c r="AA26" s="32">
        <f>AA25*Assumptions!$D$33</f>
        <v/>
      </c>
      <c r="AB26" s="32">
        <f>AB25*Assumptions!$D$33</f>
        <v/>
      </c>
      <c r="AC26" s="32">
        <f>AC25*Assumptions!$D$33</f>
        <v/>
      </c>
      <c r="AD26" s="32">
        <f>AD25*Assumptions!$D$33</f>
        <v/>
      </c>
      <c r="AE26" s="32">
        <f>AE25*Assumptions!$D$33</f>
        <v/>
      </c>
      <c r="AF26" s="32">
        <f>AF25*Assumptions!$D$33</f>
        <v/>
      </c>
      <c r="AG26" s="32">
        <f>AG25*Assumptions!$D$33</f>
        <v/>
      </c>
      <c r="AH26" s="32">
        <f>AH25*Assumptions!$D$33</f>
        <v/>
      </c>
      <c r="AI26" s="32">
        <f>AI25*Assumptions!$D$33</f>
        <v/>
      </c>
      <c r="AJ26" s="32">
        <f>AJ25*Assumptions!$D$33</f>
        <v/>
      </c>
      <c r="AK26" s="32">
        <f>AK25*Assumptions!$D$33</f>
        <v/>
      </c>
      <c r="AL26" s="32">
        <f>AL25*Assumptions!$D$33</f>
        <v/>
      </c>
    </row>
    <row r="27">
      <c r="A27" t="inlineStr">
        <is>
          <t>[D] New retainers</t>
        </is>
      </c>
      <c r="C27" s="31">
        <f>C25*Assumptions!$D$34</f>
        <v/>
      </c>
      <c r="D27" s="31">
        <f>D25*Assumptions!$D$34</f>
        <v/>
      </c>
      <c r="E27" s="31">
        <f>E25*Assumptions!$D$34</f>
        <v/>
      </c>
      <c r="F27" s="31">
        <f>F25*Assumptions!$D$34</f>
        <v/>
      </c>
      <c r="G27" s="31">
        <f>G25*Assumptions!$D$34</f>
        <v/>
      </c>
      <c r="H27" s="31">
        <f>H25*Assumptions!$D$34</f>
        <v/>
      </c>
      <c r="I27" s="31">
        <f>I25*Assumptions!$D$34</f>
        <v/>
      </c>
      <c r="J27" s="31">
        <f>J25*Assumptions!$D$34</f>
        <v/>
      </c>
      <c r="K27" s="31">
        <f>K25*Assumptions!$D$34</f>
        <v/>
      </c>
      <c r="L27" s="31">
        <f>L25*Assumptions!$D$34</f>
        <v/>
      </c>
      <c r="M27" s="31">
        <f>M25*Assumptions!$D$34</f>
        <v/>
      </c>
      <c r="N27" s="31">
        <f>N25*Assumptions!$D$34</f>
        <v/>
      </c>
      <c r="O27" s="31">
        <f>O25*Assumptions!$D$34</f>
        <v/>
      </c>
      <c r="P27" s="31">
        <f>P25*Assumptions!$D$34</f>
        <v/>
      </c>
      <c r="Q27" s="31">
        <f>Q25*Assumptions!$D$34</f>
        <v/>
      </c>
      <c r="R27" s="31">
        <f>R25*Assumptions!$D$34</f>
        <v/>
      </c>
      <c r="S27" s="31">
        <f>S25*Assumptions!$D$34</f>
        <v/>
      </c>
      <c r="T27" s="31">
        <f>T25*Assumptions!$D$34</f>
        <v/>
      </c>
      <c r="U27" s="31">
        <f>U25*Assumptions!$D$34</f>
        <v/>
      </c>
      <c r="V27" s="31">
        <f>V25*Assumptions!$D$34</f>
        <v/>
      </c>
      <c r="W27" s="31">
        <f>W25*Assumptions!$D$34</f>
        <v/>
      </c>
      <c r="X27" s="31">
        <f>X25*Assumptions!$D$34</f>
        <v/>
      </c>
      <c r="Y27" s="31">
        <f>Y25*Assumptions!$D$34</f>
        <v/>
      </c>
      <c r="Z27" s="31">
        <f>Z25*Assumptions!$D$34</f>
        <v/>
      </c>
      <c r="AA27" s="31">
        <f>AA25*Assumptions!$D$34</f>
        <v/>
      </c>
      <c r="AB27" s="31">
        <f>AB25*Assumptions!$D$34</f>
        <v/>
      </c>
      <c r="AC27" s="31">
        <f>AC25*Assumptions!$D$34</f>
        <v/>
      </c>
      <c r="AD27" s="31">
        <f>AD25*Assumptions!$D$34</f>
        <v/>
      </c>
      <c r="AE27" s="31">
        <f>AE25*Assumptions!$D$34</f>
        <v/>
      </c>
      <c r="AF27" s="31">
        <f>AF25*Assumptions!$D$34</f>
        <v/>
      </c>
      <c r="AG27" s="31">
        <f>AG25*Assumptions!$D$34</f>
        <v/>
      </c>
      <c r="AH27" s="31">
        <f>AH25*Assumptions!$D$34</f>
        <v/>
      </c>
      <c r="AI27" s="31">
        <f>AI25*Assumptions!$D$34</f>
        <v/>
      </c>
      <c r="AJ27" s="31">
        <f>AJ25*Assumptions!$D$34</f>
        <v/>
      </c>
      <c r="AK27" s="31">
        <f>AK25*Assumptions!$D$34</f>
        <v/>
      </c>
      <c r="AL27" s="31">
        <f>AL25*Assumptions!$D$34</f>
        <v/>
      </c>
    </row>
    <row r="28">
      <c r="A28" t="inlineStr">
        <is>
          <t>[D] Active retainers</t>
        </is>
      </c>
      <c r="C28" s="31">
        <f>C27</f>
        <v/>
      </c>
      <c r="D28" s="31">
        <f>C28*(1-Assumptions!$D$36)+D27</f>
        <v/>
      </c>
      <c r="E28" s="31">
        <f>D28*(1-Assumptions!$D$36)+E27</f>
        <v/>
      </c>
      <c r="F28" s="31">
        <f>E28*(1-Assumptions!$D$36)+F27</f>
        <v/>
      </c>
      <c r="G28" s="31">
        <f>F28*(1-Assumptions!$D$36)+G27</f>
        <v/>
      </c>
      <c r="H28" s="31">
        <f>G28*(1-Assumptions!$D$36)+H27</f>
        <v/>
      </c>
      <c r="I28" s="31">
        <f>H28*(1-Assumptions!$D$36)+I27</f>
        <v/>
      </c>
      <c r="J28" s="31">
        <f>I28*(1-Assumptions!$D$36)+J27</f>
        <v/>
      </c>
      <c r="K28" s="31">
        <f>J28*(1-Assumptions!$D$36)+K27</f>
        <v/>
      </c>
      <c r="L28" s="31">
        <f>K28*(1-Assumptions!$D$36)+L27</f>
        <v/>
      </c>
      <c r="M28" s="31">
        <f>L28*(1-Assumptions!$D$36)+M27</f>
        <v/>
      </c>
      <c r="N28" s="31">
        <f>M28*(1-Assumptions!$D$36)+N27</f>
        <v/>
      </c>
      <c r="O28" s="31">
        <f>N28*(1-Assumptions!$D$36)+O27</f>
        <v/>
      </c>
      <c r="P28" s="31">
        <f>O28*(1-Assumptions!$D$36)+P27</f>
        <v/>
      </c>
      <c r="Q28" s="31">
        <f>P28*(1-Assumptions!$D$36)+Q27</f>
        <v/>
      </c>
      <c r="R28" s="31">
        <f>Q28*(1-Assumptions!$D$36)+R27</f>
        <v/>
      </c>
      <c r="S28" s="31">
        <f>R28*(1-Assumptions!$D$36)+S27</f>
        <v/>
      </c>
      <c r="T28" s="31">
        <f>S28*(1-Assumptions!$D$36)+T27</f>
        <v/>
      </c>
      <c r="U28" s="31">
        <f>T28*(1-Assumptions!$D$36)+U27</f>
        <v/>
      </c>
      <c r="V28" s="31">
        <f>U28*(1-Assumptions!$D$36)+V27</f>
        <v/>
      </c>
      <c r="W28" s="31">
        <f>V28*(1-Assumptions!$D$36)+W27</f>
        <v/>
      </c>
      <c r="X28" s="31">
        <f>W28*(1-Assumptions!$D$36)+X27</f>
        <v/>
      </c>
      <c r="Y28" s="31">
        <f>X28*(1-Assumptions!$D$36)+Y27</f>
        <v/>
      </c>
      <c r="Z28" s="31">
        <f>Y28*(1-Assumptions!$D$36)+Z27</f>
        <v/>
      </c>
      <c r="AA28" s="31">
        <f>Z28*(1-Assumptions!$D$36)+AA27</f>
        <v/>
      </c>
      <c r="AB28" s="31">
        <f>AA28*(1-Assumptions!$D$36)+AB27</f>
        <v/>
      </c>
      <c r="AC28" s="31">
        <f>AB28*(1-Assumptions!$D$36)+AC27</f>
        <v/>
      </c>
      <c r="AD28" s="31">
        <f>AC28*(1-Assumptions!$D$36)+AD27</f>
        <v/>
      </c>
      <c r="AE28" s="31">
        <f>AD28*(1-Assumptions!$D$36)+AE27</f>
        <v/>
      </c>
      <c r="AF28" s="31">
        <f>AE28*(1-Assumptions!$D$36)+AF27</f>
        <v/>
      </c>
      <c r="AG28" s="31">
        <f>AF28*(1-Assumptions!$D$36)+AG27</f>
        <v/>
      </c>
      <c r="AH28" s="31">
        <f>AG28*(1-Assumptions!$D$36)+AH27</f>
        <v/>
      </c>
      <c r="AI28" s="31">
        <f>AH28*(1-Assumptions!$D$36)+AI27</f>
        <v/>
      </c>
      <c r="AJ28" s="31">
        <f>AI28*(1-Assumptions!$D$36)+AJ27</f>
        <v/>
      </c>
      <c r="AK28" s="31">
        <f>AJ28*(1-Assumptions!$D$36)+AK27</f>
        <v/>
      </c>
      <c r="AL28" s="31">
        <f>AK28*(1-Assumptions!$D$36)+AL27</f>
        <v/>
      </c>
    </row>
    <row r="29">
      <c r="A29" t="inlineStr">
        <is>
          <t>[D] Retainer MRR</t>
        </is>
      </c>
      <c r="C29" s="32">
        <f>C28*Assumptions!$D$35</f>
        <v/>
      </c>
      <c r="D29" s="32">
        <f>D28*Assumptions!$D$35</f>
        <v/>
      </c>
      <c r="E29" s="32">
        <f>E28*Assumptions!$D$35</f>
        <v/>
      </c>
      <c r="F29" s="32">
        <f>F28*Assumptions!$D$35</f>
        <v/>
      </c>
      <c r="G29" s="32">
        <f>G28*Assumptions!$D$35</f>
        <v/>
      </c>
      <c r="H29" s="32">
        <f>H28*Assumptions!$D$35</f>
        <v/>
      </c>
      <c r="I29" s="32">
        <f>I28*Assumptions!$D$35</f>
        <v/>
      </c>
      <c r="J29" s="32">
        <f>J28*Assumptions!$D$35</f>
        <v/>
      </c>
      <c r="K29" s="32">
        <f>K28*Assumptions!$D$35</f>
        <v/>
      </c>
      <c r="L29" s="32">
        <f>L28*Assumptions!$D$35</f>
        <v/>
      </c>
      <c r="M29" s="32">
        <f>M28*Assumptions!$D$35</f>
        <v/>
      </c>
      <c r="N29" s="32">
        <f>N28*Assumptions!$D$35</f>
        <v/>
      </c>
      <c r="O29" s="32">
        <f>O28*Assumptions!$D$35</f>
        <v/>
      </c>
      <c r="P29" s="32">
        <f>P28*Assumptions!$D$35</f>
        <v/>
      </c>
      <c r="Q29" s="32">
        <f>Q28*Assumptions!$D$35</f>
        <v/>
      </c>
      <c r="R29" s="32">
        <f>R28*Assumptions!$D$35</f>
        <v/>
      </c>
      <c r="S29" s="32">
        <f>S28*Assumptions!$D$35</f>
        <v/>
      </c>
      <c r="T29" s="32">
        <f>T28*Assumptions!$D$35</f>
        <v/>
      </c>
      <c r="U29" s="32">
        <f>U28*Assumptions!$D$35</f>
        <v/>
      </c>
      <c r="V29" s="32">
        <f>V28*Assumptions!$D$35</f>
        <v/>
      </c>
      <c r="W29" s="32">
        <f>W28*Assumptions!$D$35</f>
        <v/>
      </c>
      <c r="X29" s="32">
        <f>X28*Assumptions!$D$35</f>
        <v/>
      </c>
      <c r="Y29" s="32">
        <f>Y28*Assumptions!$D$35</f>
        <v/>
      </c>
      <c r="Z29" s="32">
        <f>Z28*Assumptions!$D$35</f>
        <v/>
      </c>
      <c r="AA29" s="32">
        <f>AA28*Assumptions!$D$35</f>
        <v/>
      </c>
      <c r="AB29" s="32">
        <f>AB28*Assumptions!$D$35</f>
        <v/>
      </c>
      <c r="AC29" s="32">
        <f>AC28*Assumptions!$D$35</f>
        <v/>
      </c>
      <c r="AD29" s="32">
        <f>AD28*Assumptions!$D$35</f>
        <v/>
      </c>
      <c r="AE29" s="32">
        <f>AE28*Assumptions!$D$35</f>
        <v/>
      </c>
      <c r="AF29" s="32">
        <f>AF28*Assumptions!$D$35</f>
        <v/>
      </c>
      <c r="AG29" s="32">
        <f>AG28*Assumptions!$D$35</f>
        <v/>
      </c>
      <c r="AH29" s="32">
        <f>AH28*Assumptions!$D$35</f>
        <v/>
      </c>
      <c r="AI29" s="32">
        <f>AI28*Assumptions!$D$35</f>
        <v/>
      </c>
      <c r="AJ29" s="32">
        <f>AJ28*Assumptions!$D$35</f>
        <v/>
      </c>
      <c r="AK29" s="32">
        <f>AK28*Assumptions!$D$35</f>
        <v/>
      </c>
      <c r="AL29" s="32">
        <f>AL28*Assumptions!$D$35</f>
        <v/>
      </c>
    </row>
    <row r="31">
      <c r="A31" s="12" t="inlineStr">
        <is>
          <t>TOTAL monthly revenue</t>
        </is>
      </c>
      <c r="C31" s="32">
        <f>C10+C15+C17+C21+C22+C26+C29</f>
        <v/>
      </c>
      <c r="D31" s="32">
        <f>D10+D15+D17+D21+D22+D26+D29</f>
        <v/>
      </c>
      <c r="E31" s="32">
        <f>E10+E15+E17+E21+E22+E26+E29</f>
        <v/>
      </c>
      <c r="F31" s="32">
        <f>F10+F15+F17+F21+F22+F26+F29</f>
        <v/>
      </c>
      <c r="G31" s="32">
        <f>G10+G15+G17+G21+G22+G26+G29</f>
        <v/>
      </c>
      <c r="H31" s="32">
        <f>H10+H15+H17+H21+H22+H26+H29</f>
        <v/>
      </c>
      <c r="I31" s="32">
        <f>I10+I15+I17+I21+I22+I26+I29</f>
        <v/>
      </c>
      <c r="J31" s="32">
        <f>J10+J15+J17+J21+J22+J26+J29</f>
        <v/>
      </c>
      <c r="K31" s="32">
        <f>K10+K15+K17+K21+K22+K26+K29</f>
        <v/>
      </c>
      <c r="L31" s="32">
        <f>L10+L15+L17+L21+L22+L26+L29</f>
        <v/>
      </c>
      <c r="M31" s="32">
        <f>M10+M15+M17+M21+M22+M26+M29</f>
        <v/>
      </c>
      <c r="N31" s="32">
        <f>N10+N15+N17+N21+N22+N26+N29</f>
        <v/>
      </c>
      <c r="O31" s="32">
        <f>O10+O15+O17+O21+O22+O26+O29</f>
        <v/>
      </c>
      <c r="P31" s="32">
        <f>P10+P15+P17+P21+P22+P26+P29</f>
        <v/>
      </c>
      <c r="Q31" s="32">
        <f>Q10+Q15+Q17+Q21+Q22+Q26+Q29</f>
        <v/>
      </c>
      <c r="R31" s="32">
        <f>R10+R15+R17+R21+R22+R26+R29</f>
        <v/>
      </c>
      <c r="S31" s="32">
        <f>S10+S15+S17+S21+S22+S26+S29</f>
        <v/>
      </c>
      <c r="T31" s="32">
        <f>T10+T15+T17+T21+T22+T26+T29</f>
        <v/>
      </c>
      <c r="U31" s="32">
        <f>U10+U15+U17+U21+U22+U26+U29</f>
        <v/>
      </c>
      <c r="V31" s="32">
        <f>V10+V15+V17+V21+V22+V26+V29</f>
        <v/>
      </c>
      <c r="W31" s="32">
        <f>W10+W15+W17+W21+W22+W26+W29</f>
        <v/>
      </c>
      <c r="X31" s="32">
        <f>X10+X15+X17+X21+X22+X26+X29</f>
        <v/>
      </c>
      <c r="Y31" s="32">
        <f>Y10+Y15+Y17+Y21+Y22+Y26+Y29</f>
        <v/>
      </c>
      <c r="Z31" s="32">
        <f>Z10+Z15+Z17+Z21+Z22+Z26+Z29</f>
        <v/>
      </c>
      <c r="AA31" s="32">
        <f>AA10+AA15+AA17+AA21+AA22+AA26+AA29</f>
        <v/>
      </c>
      <c r="AB31" s="32">
        <f>AB10+AB15+AB17+AB21+AB22+AB26+AB29</f>
        <v/>
      </c>
      <c r="AC31" s="32">
        <f>AC10+AC15+AC17+AC21+AC22+AC26+AC29</f>
        <v/>
      </c>
      <c r="AD31" s="32">
        <f>AD10+AD15+AD17+AD21+AD22+AD26+AD29</f>
        <v/>
      </c>
      <c r="AE31" s="32">
        <f>AE10+AE15+AE17+AE21+AE22+AE26+AE29</f>
        <v/>
      </c>
      <c r="AF31" s="32">
        <f>AF10+AF15+AF17+AF21+AF22+AF26+AF29</f>
        <v/>
      </c>
      <c r="AG31" s="32">
        <f>AG10+AG15+AG17+AG21+AG22+AG26+AG29</f>
        <v/>
      </c>
      <c r="AH31" s="32">
        <f>AH10+AH15+AH17+AH21+AH22+AH26+AH29</f>
        <v/>
      </c>
      <c r="AI31" s="32">
        <f>AI10+AI15+AI17+AI21+AI22+AI26+AI29</f>
        <v/>
      </c>
      <c r="AJ31" s="32">
        <f>AJ10+AJ15+AJ17+AJ21+AJ22+AJ26+AJ29</f>
        <v/>
      </c>
      <c r="AK31" s="32">
        <f>AK10+AK15+AK17+AK21+AK22+AK26+AK29</f>
        <v/>
      </c>
      <c r="AL31" s="32">
        <f>AL10+AL15+AL17+AL21+AL22+AL26+AL29</f>
        <v/>
      </c>
    </row>
    <row r="32">
      <c r="A32" s="12" t="inlineStr">
        <is>
          <t>Recurring MRR</t>
        </is>
      </c>
      <c r="C32" s="32">
        <f>C15+C17+C21+C29</f>
        <v/>
      </c>
      <c r="D32" s="32">
        <f>D15+D17+D21+D29</f>
        <v/>
      </c>
      <c r="E32" s="32">
        <f>E15+E17+E21+E29</f>
        <v/>
      </c>
      <c r="F32" s="32">
        <f>F15+F17+F21+F29</f>
        <v/>
      </c>
      <c r="G32" s="32">
        <f>G15+G17+G21+G29</f>
        <v/>
      </c>
      <c r="H32" s="32">
        <f>H15+H17+H21+H29</f>
        <v/>
      </c>
      <c r="I32" s="32">
        <f>I15+I17+I21+I29</f>
        <v/>
      </c>
      <c r="J32" s="32">
        <f>J15+J17+J21+J29</f>
        <v/>
      </c>
      <c r="K32" s="32">
        <f>K15+K17+K21+K29</f>
        <v/>
      </c>
      <c r="L32" s="32">
        <f>L15+L17+L21+L29</f>
        <v/>
      </c>
      <c r="M32" s="32">
        <f>M15+M17+M21+M29</f>
        <v/>
      </c>
      <c r="N32" s="32">
        <f>N15+N17+N21+N29</f>
        <v/>
      </c>
      <c r="O32" s="32">
        <f>O15+O17+O21+O29</f>
        <v/>
      </c>
      <c r="P32" s="32">
        <f>P15+P17+P21+P29</f>
        <v/>
      </c>
      <c r="Q32" s="32">
        <f>Q15+Q17+Q21+Q29</f>
        <v/>
      </c>
      <c r="R32" s="32">
        <f>R15+R17+R21+R29</f>
        <v/>
      </c>
      <c r="S32" s="32">
        <f>S15+S17+S21+S29</f>
        <v/>
      </c>
      <c r="T32" s="32">
        <f>T15+T17+T21+T29</f>
        <v/>
      </c>
      <c r="U32" s="32">
        <f>U15+U17+U21+U29</f>
        <v/>
      </c>
      <c r="V32" s="32">
        <f>V15+V17+V21+V29</f>
        <v/>
      </c>
      <c r="W32" s="32">
        <f>W15+W17+W21+W29</f>
        <v/>
      </c>
      <c r="X32" s="32">
        <f>X15+X17+X21+X29</f>
        <v/>
      </c>
      <c r="Y32" s="32">
        <f>Y15+Y17+Y21+Y29</f>
        <v/>
      </c>
      <c r="Z32" s="32">
        <f>Z15+Z17+Z21+Z29</f>
        <v/>
      </c>
      <c r="AA32" s="32">
        <f>AA15+AA17+AA21+AA29</f>
        <v/>
      </c>
      <c r="AB32" s="32">
        <f>AB15+AB17+AB21+AB29</f>
        <v/>
      </c>
      <c r="AC32" s="32">
        <f>AC15+AC17+AC21+AC29</f>
        <v/>
      </c>
      <c r="AD32" s="32">
        <f>AD15+AD17+AD21+AD29</f>
        <v/>
      </c>
      <c r="AE32" s="32">
        <f>AE15+AE17+AE21+AE29</f>
        <v/>
      </c>
      <c r="AF32" s="32">
        <f>AF15+AF17+AF21+AF29</f>
        <v/>
      </c>
      <c r="AG32" s="32">
        <f>AG15+AG17+AG21+AG29</f>
        <v/>
      </c>
      <c r="AH32" s="32">
        <f>AH15+AH17+AH21+AH29</f>
        <v/>
      </c>
      <c r="AI32" s="32">
        <f>AI15+AI17+AI21+AI29</f>
        <v/>
      </c>
      <c r="AJ32" s="32">
        <f>AJ15+AJ17+AJ21+AJ29</f>
        <v/>
      </c>
      <c r="AK32" s="32">
        <f>AK15+AK17+AK21+AK29</f>
        <v/>
      </c>
      <c r="AL32" s="32">
        <f>AL15+AL17+AL21+AL29</f>
        <v/>
      </c>
    </row>
    <row r="33">
      <c r="A33" s="12" t="inlineStr">
        <is>
          <t>Cumulative revenue</t>
        </is>
      </c>
      <c r="C33" s="32">
        <f>C31</f>
        <v/>
      </c>
      <c r="D33" s="32">
        <f>C33+D31</f>
        <v/>
      </c>
      <c r="E33" s="32">
        <f>D33+E31</f>
        <v/>
      </c>
      <c r="F33" s="32">
        <f>E33+F31</f>
        <v/>
      </c>
      <c r="G33" s="32">
        <f>F33+G31</f>
        <v/>
      </c>
      <c r="H33" s="32">
        <f>G33+H31</f>
        <v/>
      </c>
      <c r="I33" s="32">
        <f>H33+I31</f>
        <v/>
      </c>
      <c r="J33" s="32">
        <f>I33+J31</f>
        <v/>
      </c>
      <c r="K33" s="32">
        <f>J33+K31</f>
        <v/>
      </c>
      <c r="L33" s="32">
        <f>K33+L31</f>
        <v/>
      </c>
      <c r="M33" s="32">
        <f>L33+M31</f>
        <v/>
      </c>
      <c r="N33" s="32">
        <f>M33+N31</f>
        <v/>
      </c>
      <c r="O33" s="32">
        <f>N33+O31</f>
        <v/>
      </c>
      <c r="P33" s="32">
        <f>O33+P31</f>
        <v/>
      </c>
      <c r="Q33" s="32">
        <f>P33+Q31</f>
        <v/>
      </c>
      <c r="R33" s="32">
        <f>Q33+R31</f>
        <v/>
      </c>
      <c r="S33" s="32">
        <f>R33+S31</f>
        <v/>
      </c>
      <c r="T33" s="32">
        <f>S33+T31</f>
        <v/>
      </c>
      <c r="U33" s="32">
        <f>T33+U31</f>
        <v/>
      </c>
      <c r="V33" s="32">
        <f>U33+V31</f>
        <v/>
      </c>
      <c r="W33" s="32">
        <f>V33+W31</f>
        <v/>
      </c>
      <c r="X33" s="32">
        <f>W33+X31</f>
        <v/>
      </c>
      <c r="Y33" s="32">
        <f>X33+Y31</f>
        <v/>
      </c>
      <c r="Z33" s="32">
        <f>Y33+Z31</f>
        <v/>
      </c>
      <c r="AA33" s="32">
        <f>Z33+AA31</f>
        <v/>
      </c>
      <c r="AB33" s="32">
        <f>AA33+AB31</f>
        <v/>
      </c>
      <c r="AC33" s="32">
        <f>AB33+AC31</f>
        <v/>
      </c>
      <c r="AD33" s="32">
        <f>AC33+AD31</f>
        <v/>
      </c>
      <c r="AE33" s="32">
        <f>AD33+AE31</f>
        <v/>
      </c>
      <c r="AF33" s="32">
        <f>AE33+AF31</f>
        <v/>
      </c>
      <c r="AG33" s="32">
        <f>AF33+AG31</f>
        <v/>
      </c>
      <c r="AH33" s="32">
        <f>AG33+AH31</f>
        <v/>
      </c>
      <c r="AI33" s="32">
        <f>AH33+AI31</f>
        <v/>
      </c>
      <c r="AJ33" s="32">
        <f>AI33+AJ31</f>
        <v/>
      </c>
      <c r="AK33" s="32">
        <f>AJ33+AK31</f>
        <v/>
      </c>
      <c r="AL33" s="32">
        <f>AK33+AL31</f>
        <v/>
      </c>
    </row>
    <row r="35">
      <c r="A35" t="inlineStr">
        <is>
          <t xml:space="preserve">  mix: Supporter</t>
        </is>
      </c>
      <c r="C35" s="32">
        <f>C10</f>
        <v/>
      </c>
      <c r="D35" s="32">
        <f>D10</f>
        <v/>
      </c>
      <c r="E35" s="32">
        <f>E10</f>
        <v/>
      </c>
      <c r="F35" s="32">
        <f>F10</f>
        <v/>
      </c>
      <c r="G35" s="32">
        <f>G10</f>
        <v/>
      </c>
      <c r="H35" s="32">
        <f>H10</f>
        <v/>
      </c>
      <c r="I35" s="32">
        <f>I10</f>
        <v/>
      </c>
      <c r="J35" s="32">
        <f>J10</f>
        <v/>
      </c>
      <c r="K35" s="32">
        <f>K10</f>
        <v/>
      </c>
      <c r="L35" s="32">
        <f>L10</f>
        <v/>
      </c>
      <c r="M35" s="32">
        <f>M10</f>
        <v/>
      </c>
      <c r="N35" s="32">
        <f>N10</f>
        <v/>
      </c>
      <c r="O35" s="32">
        <f>O10</f>
        <v/>
      </c>
      <c r="P35" s="32">
        <f>P10</f>
        <v/>
      </c>
      <c r="Q35" s="32">
        <f>Q10</f>
        <v/>
      </c>
      <c r="R35" s="32">
        <f>R10</f>
        <v/>
      </c>
      <c r="S35" s="32">
        <f>S10</f>
        <v/>
      </c>
      <c r="T35" s="32">
        <f>T10</f>
        <v/>
      </c>
      <c r="U35" s="32">
        <f>U10</f>
        <v/>
      </c>
      <c r="V35" s="32">
        <f>V10</f>
        <v/>
      </c>
      <c r="W35" s="32">
        <f>W10</f>
        <v/>
      </c>
      <c r="X35" s="32">
        <f>X10</f>
        <v/>
      </c>
      <c r="Y35" s="32">
        <f>Y10</f>
        <v/>
      </c>
      <c r="Z35" s="32">
        <f>Z10</f>
        <v/>
      </c>
      <c r="AA35" s="32">
        <f>AA10</f>
        <v/>
      </c>
      <c r="AB35" s="32">
        <f>AB10</f>
        <v/>
      </c>
      <c r="AC35" s="32">
        <f>AC10</f>
        <v/>
      </c>
      <c r="AD35" s="32">
        <f>AD10</f>
        <v/>
      </c>
      <c r="AE35" s="32">
        <f>AE10</f>
        <v/>
      </c>
      <c r="AF35" s="32">
        <f>AF10</f>
        <v/>
      </c>
      <c r="AG35" s="32">
        <f>AG10</f>
        <v/>
      </c>
      <c r="AH35" s="32">
        <f>AH10</f>
        <v/>
      </c>
      <c r="AI35" s="32">
        <f>AI10</f>
        <v/>
      </c>
      <c r="AJ35" s="32">
        <f>AJ10</f>
        <v/>
      </c>
      <c r="AK35" s="32">
        <f>AK10</f>
        <v/>
      </c>
      <c r="AL35" s="32">
        <f>AL10</f>
        <v/>
      </c>
    </row>
    <row r="36">
      <c r="A36" t="inlineStr">
        <is>
          <t xml:space="preserve">  mix: Pro</t>
        </is>
      </c>
      <c r="C36" s="32">
        <f>C15</f>
        <v/>
      </c>
      <c r="D36" s="32">
        <f>D15</f>
        <v/>
      </c>
      <c r="E36" s="32">
        <f>E15</f>
        <v/>
      </c>
      <c r="F36" s="32">
        <f>F15</f>
        <v/>
      </c>
      <c r="G36" s="32">
        <f>G15</f>
        <v/>
      </c>
      <c r="H36" s="32">
        <f>H15</f>
        <v/>
      </c>
      <c r="I36" s="32">
        <f>I15</f>
        <v/>
      </c>
      <c r="J36" s="32">
        <f>J15</f>
        <v/>
      </c>
      <c r="K36" s="32">
        <f>K15</f>
        <v/>
      </c>
      <c r="L36" s="32">
        <f>L15</f>
        <v/>
      </c>
      <c r="M36" s="32">
        <f>M15</f>
        <v/>
      </c>
      <c r="N36" s="32">
        <f>N15</f>
        <v/>
      </c>
      <c r="O36" s="32">
        <f>O15</f>
        <v/>
      </c>
      <c r="P36" s="32">
        <f>P15</f>
        <v/>
      </c>
      <c r="Q36" s="32">
        <f>Q15</f>
        <v/>
      </c>
      <c r="R36" s="32">
        <f>R15</f>
        <v/>
      </c>
      <c r="S36" s="32">
        <f>S15</f>
        <v/>
      </c>
      <c r="T36" s="32">
        <f>T15</f>
        <v/>
      </c>
      <c r="U36" s="32">
        <f>U15</f>
        <v/>
      </c>
      <c r="V36" s="32">
        <f>V15</f>
        <v/>
      </c>
      <c r="W36" s="32">
        <f>W15</f>
        <v/>
      </c>
      <c r="X36" s="32">
        <f>X15</f>
        <v/>
      </c>
      <c r="Y36" s="32">
        <f>Y15</f>
        <v/>
      </c>
      <c r="Z36" s="32">
        <f>Z15</f>
        <v/>
      </c>
      <c r="AA36" s="32">
        <f>AA15</f>
        <v/>
      </c>
      <c r="AB36" s="32">
        <f>AB15</f>
        <v/>
      </c>
      <c r="AC36" s="32">
        <f>AC15</f>
        <v/>
      </c>
      <c r="AD36" s="32">
        <f>AD15</f>
        <v/>
      </c>
      <c r="AE36" s="32">
        <f>AE15</f>
        <v/>
      </c>
      <c r="AF36" s="32">
        <f>AF15</f>
        <v/>
      </c>
      <c r="AG36" s="32">
        <f>AG15</f>
        <v/>
      </c>
      <c r="AH36" s="32">
        <f>AH15</f>
        <v/>
      </c>
      <c r="AI36" s="32">
        <f>AI15</f>
        <v/>
      </c>
      <c r="AJ36" s="32">
        <f>AJ15</f>
        <v/>
      </c>
      <c r="AK36" s="32">
        <f>AK15</f>
        <v/>
      </c>
      <c r="AL36" s="32">
        <f>AL15</f>
        <v/>
      </c>
    </row>
    <row r="37">
      <c r="A37" t="inlineStr">
        <is>
          <t xml:space="preserve">  mix: Cloud</t>
        </is>
      </c>
      <c r="C37" s="32">
        <f>C17</f>
        <v/>
      </c>
      <c r="D37" s="32">
        <f>D17</f>
        <v/>
      </c>
      <c r="E37" s="32">
        <f>E17</f>
        <v/>
      </c>
      <c r="F37" s="32">
        <f>F17</f>
        <v/>
      </c>
      <c r="G37" s="32">
        <f>G17</f>
        <v/>
      </c>
      <c r="H37" s="32">
        <f>H17</f>
        <v/>
      </c>
      <c r="I37" s="32">
        <f>I17</f>
        <v/>
      </c>
      <c r="J37" s="32">
        <f>J17</f>
        <v/>
      </c>
      <c r="K37" s="32">
        <f>K17</f>
        <v/>
      </c>
      <c r="L37" s="32">
        <f>L17</f>
        <v/>
      </c>
      <c r="M37" s="32">
        <f>M17</f>
        <v/>
      </c>
      <c r="N37" s="32">
        <f>N17</f>
        <v/>
      </c>
      <c r="O37" s="32">
        <f>O17</f>
        <v/>
      </c>
      <c r="P37" s="32">
        <f>P17</f>
        <v/>
      </c>
      <c r="Q37" s="32">
        <f>Q17</f>
        <v/>
      </c>
      <c r="R37" s="32">
        <f>R17</f>
        <v/>
      </c>
      <c r="S37" s="32">
        <f>S17</f>
        <v/>
      </c>
      <c r="T37" s="32">
        <f>T17</f>
        <v/>
      </c>
      <c r="U37" s="32">
        <f>U17</f>
        <v/>
      </c>
      <c r="V37" s="32">
        <f>V17</f>
        <v/>
      </c>
      <c r="W37" s="32">
        <f>W17</f>
        <v/>
      </c>
      <c r="X37" s="32">
        <f>X17</f>
        <v/>
      </c>
      <c r="Y37" s="32">
        <f>Y17</f>
        <v/>
      </c>
      <c r="Z37" s="32">
        <f>Z17</f>
        <v/>
      </c>
      <c r="AA37" s="32">
        <f>AA17</f>
        <v/>
      </c>
      <c r="AB37" s="32">
        <f>AB17</f>
        <v/>
      </c>
      <c r="AC37" s="32">
        <f>AC17</f>
        <v/>
      </c>
      <c r="AD37" s="32">
        <f>AD17</f>
        <v/>
      </c>
      <c r="AE37" s="32">
        <f>AE17</f>
        <v/>
      </c>
      <c r="AF37" s="32">
        <f>AF17</f>
        <v/>
      </c>
      <c r="AG37" s="32">
        <f>AG17</f>
        <v/>
      </c>
      <c r="AH37" s="32">
        <f>AH17</f>
        <v/>
      </c>
      <c r="AI37" s="32">
        <f>AI17</f>
        <v/>
      </c>
      <c r="AJ37" s="32">
        <f>AJ17</f>
        <v/>
      </c>
      <c r="AK37" s="32">
        <f>AK17</f>
        <v/>
      </c>
      <c r="AL37" s="32">
        <f>AL17</f>
        <v/>
      </c>
    </row>
    <row r="38">
      <c r="A38" t="inlineStr">
        <is>
          <t xml:space="preserve">  mix: Content</t>
        </is>
      </c>
      <c r="C38" s="32">
        <f>C21+C22</f>
        <v/>
      </c>
      <c r="D38" s="32">
        <f>D21+D22</f>
        <v/>
      </c>
      <c r="E38" s="32">
        <f>E21+E22</f>
        <v/>
      </c>
      <c r="F38" s="32">
        <f>F21+F22</f>
        <v/>
      </c>
      <c r="G38" s="32">
        <f>G21+G22</f>
        <v/>
      </c>
      <c r="H38" s="32">
        <f>H21+H22</f>
        <v/>
      </c>
      <c r="I38" s="32">
        <f>I21+I22</f>
        <v/>
      </c>
      <c r="J38" s="32">
        <f>J21+J22</f>
        <v/>
      </c>
      <c r="K38" s="32">
        <f>K21+K22</f>
        <v/>
      </c>
      <c r="L38" s="32">
        <f>L21+L22</f>
        <v/>
      </c>
      <c r="M38" s="32">
        <f>M21+M22</f>
        <v/>
      </c>
      <c r="N38" s="32">
        <f>N21+N22</f>
        <v/>
      </c>
      <c r="O38" s="32">
        <f>O21+O22</f>
        <v/>
      </c>
      <c r="P38" s="32">
        <f>P21+P22</f>
        <v/>
      </c>
      <c r="Q38" s="32">
        <f>Q21+Q22</f>
        <v/>
      </c>
      <c r="R38" s="32">
        <f>R21+R22</f>
        <v/>
      </c>
      <c r="S38" s="32">
        <f>S21+S22</f>
        <v/>
      </c>
      <c r="T38" s="32">
        <f>T21+T22</f>
        <v/>
      </c>
      <c r="U38" s="32">
        <f>U21+U22</f>
        <v/>
      </c>
      <c r="V38" s="32">
        <f>V21+V22</f>
        <v/>
      </c>
      <c r="W38" s="32">
        <f>W21+W22</f>
        <v/>
      </c>
      <c r="X38" s="32">
        <f>X21+X22</f>
        <v/>
      </c>
      <c r="Y38" s="32">
        <f>Y21+Y22</f>
        <v/>
      </c>
      <c r="Z38" s="32">
        <f>Z21+Z22</f>
        <v/>
      </c>
      <c r="AA38" s="32">
        <f>AA21+AA22</f>
        <v/>
      </c>
      <c r="AB38" s="32">
        <f>AB21+AB22</f>
        <v/>
      </c>
      <c r="AC38" s="32">
        <f>AC21+AC22</f>
        <v/>
      </c>
      <c r="AD38" s="32">
        <f>AD21+AD22</f>
        <v/>
      </c>
      <c r="AE38" s="32">
        <f>AE21+AE22</f>
        <v/>
      </c>
      <c r="AF38" s="32">
        <f>AF21+AF22</f>
        <v/>
      </c>
      <c r="AG38" s="32">
        <f>AG21+AG22</f>
        <v/>
      </c>
      <c r="AH38" s="32">
        <f>AH21+AH22</f>
        <v/>
      </c>
      <c r="AI38" s="32">
        <f>AI21+AI22</f>
        <v/>
      </c>
      <c r="AJ38" s="32">
        <f>AJ21+AJ22</f>
        <v/>
      </c>
      <c r="AK38" s="32">
        <f>AK21+AK22</f>
        <v/>
      </c>
      <c r="AL38" s="32">
        <f>AL21+AL22</f>
        <v/>
      </c>
    </row>
    <row r="39">
      <c r="A39" t="inlineStr">
        <is>
          <t xml:space="preserve">  mix: Services</t>
        </is>
      </c>
      <c r="C39" s="32">
        <f>C26+C29</f>
        <v/>
      </c>
      <c r="D39" s="32">
        <f>D26+D29</f>
        <v/>
      </c>
      <c r="E39" s="32">
        <f>E26+E29</f>
        <v/>
      </c>
      <c r="F39" s="32">
        <f>F26+F29</f>
        <v/>
      </c>
      <c r="G39" s="32">
        <f>G26+G29</f>
        <v/>
      </c>
      <c r="H39" s="32">
        <f>H26+H29</f>
        <v/>
      </c>
      <c r="I39" s="32">
        <f>I26+I29</f>
        <v/>
      </c>
      <c r="J39" s="32">
        <f>J26+J29</f>
        <v/>
      </c>
      <c r="K39" s="32">
        <f>K26+K29</f>
        <v/>
      </c>
      <c r="L39" s="32">
        <f>L26+L29</f>
        <v/>
      </c>
      <c r="M39" s="32">
        <f>M26+M29</f>
        <v/>
      </c>
      <c r="N39" s="32">
        <f>N26+N29</f>
        <v/>
      </c>
      <c r="O39" s="32">
        <f>O26+O29</f>
        <v/>
      </c>
      <c r="P39" s="32">
        <f>P26+P29</f>
        <v/>
      </c>
      <c r="Q39" s="32">
        <f>Q26+Q29</f>
        <v/>
      </c>
      <c r="R39" s="32">
        <f>R26+R29</f>
        <v/>
      </c>
      <c r="S39" s="32">
        <f>S26+S29</f>
        <v/>
      </c>
      <c r="T39" s="32">
        <f>T26+T29</f>
        <v/>
      </c>
      <c r="U39" s="32">
        <f>U26+U29</f>
        <v/>
      </c>
      <c r="V39" s="32">
        <f>V26+V29</f>
        <v/>
      </c>
      <c r="W39" s="32">
        <f>W26+W29</f>
        <v/>
      </c>
      <c r="X39" s="32">
        <f>X26+X29</f>
        <v/>
      </c>
      <c r="Y39" s="32">
        <f>Y26+Y29</f>
        <v/>
      </c>
      <c r="Z39" s="32">
        <f>Z26+Z29</f>
        <v/>
      </c>
      <c r="AA39" s="32">
        <f>AA26+AA29</f>
        <v/>
      </c>
      <c r="AB39" s="32">
        <f>AB26+AB29</f>
        <v/>
      </c>
      <c r="AC39" s="32">
        <f>AC26+AC29</f>
        <v/>
      </c>
      <c r="AD39" s="32">
        <f>AD26+AD29</f>
        <v/>
      </c>
      <c r="AE39" s="32">
        <f>AE26+AE29</f>
        <v/>
      </c>
      <c r="AF39" s="32">
        <f>AF26+AF29</f>
        <v/>
      </c>
      <c r="AG39" s="32">
        <f>AG26+AG29</f>
        <v/>
      </c>
      <c r="AH39" s="32">
        <f>AH26+AH29</f>
        <v/>
      </c>
      <c r="AI39" s="32">
        <f>AI26+AI29</f>
        <v/>
      </c>
      <c r="AJ39" s="32">
        <f>AJ26+AJ29</f>
        <v/>
      </c>
      <c r="AK39" s="32">
        <f>AK26+AK29</f>
        <v/>
      </c>
      <c r="AL39" s="32">
        <f>AL26+AL29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2026-06-26T15:08:51Z</dcterms:created>
  <dcterms:modified xmlns:dcterms="http://purl.org/dc/terms/" xmlns:xsi="http://www.w3.org/2001/XMLSchema-instance" xsi:type="dcterms:W3CDTF">2026-06-26T15:08:51Z</dcterms:modified>
</cp:coreProperties>
</file>